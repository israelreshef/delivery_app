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rael\Desktop\"/>
    </mc:Choice>
  </mc:AlternateContent>
  <xr:revisionPtr revIDLastSave="0" documentId="8_{3E006592-9556-45E4-A3D4-D2152628639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הנחות יסוד (Dashboard)" sheetId="1" r:id="rId1"/>
    <sheet name="כלכלת יחידה (Unit Economics)" sheetId="2" r:id="rId2"/>
    <sheet name="רווח והפסד 12 חודשים" sheetId="3" r:id="rId3"/>
    <sheet name="דשבורד גרפים" sheetId="4" r:id="rId4"/>
  </sheets>
  <definedNames>
    <definedName name="AOV">'הנחות יסוד (Dashboard)'!$B$8</definedName>
    <definedName name="CAC">'הנחות יסוד (Dashboard)'!$B$12</definedName>
    <definedName name="Churn_Rate">'הנחות יסוד (Dashboard)'!$B$6</definedName>
    <definedName name="Courier_Cut">'הנחות יסוד (Dashboard)'!$B$9</definedName>
    <definedName name="Fixed_Misc">'הנחות יסוד (Dashboard)'!$B$15</definedName>
    <definedName name="Fixed_SaaS">'הנחות יסוד (Dashboard)'!$B$13</definedName>
    <definedName name="Fixed_Salary">'הנחות יסוד (Dashboard)'!$B$14</definedName>
    <definedName name="Growth_Rate">'הנחות יסוד (Dashboard)'!$B$5</definedName>
    <definedName name="Start_Orders">'הנחות יסוד (Dashboard)'!$B$3</definedName>
    <definedName name="Var_Tech_Cost">'הנחות יסוד (Dashboard)'!$B$10</definedName>
    <definedName name="Work_Days">'הנחות יסוד (Dashboard)'!$B$4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3" i="1"/>
  <c r="E44" i="1"/>
  <c r="D44" i="1"/>
  <c r="D50" i="1"/>
  <c r="B59" i="1"/>
  <c r="B58" i="1"/>
  <c r="B57" i="1"/>
  <c r="B56" i="1"/>
  <c r="D43" i="1"/>
  <c r="E43" i="1" s="1"/>
  <c r="E50" i="1"/>
  <c r="D46" i="1"/>
  <c r="E46" i="1" s="1"/>
  <c r="D47" i="1"/>
  <c r="E47" i="1" s="1"/>
  <c r="D48" i="1"/>
  <c r="E48" i="1" s="1"/>
  <c r="D49" i="1"/>
  <c r="E49" i="1" s="1"/>
  <c r="D42" i="1"/>
  <c r="E42" i="1" s="1"/>
  <c r="D45" i="1"/>
  <c r="E45" i="1" s="1"/>
  <c r="M9" i="3"/>
  <c r="L9" i="3"/>
  <c r="K9" i="3"/>
  <c r="J9" i="3"/>
  <c r="I9" i="3"/>
  <c r="H9" i="3"/>
  <c r="G9" i="3"/>
  <c r="F9" i="3"/>
  <c r="E9" i="3"/>
  <c r="D9" i="3"/>
  <c r="C9" i="3"/>
  <c r="B9" i="3"/>
  <c r="B2" i="3"/>
  <c r="B6" i="3" s="1"/>
  <c r="B4" i="2"/>
  <c r="B3" i="2"/>
  <c r="B2" i="2"/>
  <c r="B4" i="3" l="1"/>
  <c r="B5" i="2"/>
  <c r="B6" i="2" s="1"/>
  <c r="B3" i="3"/>
  <c r="C2" i="3"/>
  <c r="B5" i="3" l="1"/>
  <c r="B7" i="3" s="1"/>
  <c r="B8" i="3"/>
  <c r="C4" i="3"/>
  <c r="C3" i="3"/>
  <c r="C6" i="3"/>
  <c r="D2" i="3"/>
  <c r="B10" i="3" l="1"/>
  <c r="B11" i="3" s="1"/>
  <c r="D6" i="3"/>
  <c r="D3" i="3"/>
  <c r="D4" i="3"/>
  <c r="E2" i="3"/>
  <c r="C5" i="3"/>
  <c r="C7" i="3" s="1"/>
  <c r="C8" i="3"/>
  <c r="C10" i="3" l="1"/>
  <c r="C11" i="3" s="1"/>
  <c r="F2" i="3"/>
  <c r="E3" i="3"/>
  <c r="E6" i="3"/>
  <c r="E4" i="3"/>
  <c r="D5" i="3"/>
  <c r="D7" i="3" s="1"/>
  <c r="D8" i="3"/>
  <c r="D10" i="3" l="1"/>
  <c r="D11" i="3" s="1"/>
  <c r="E5" i="3"/>
  <c r="E7" i="3" s="1"/>
  <c r="E8" i="3"/>
  <c r="F3" i="3"/>
  <c r="F4" i="3"/>
  <c r="G2" i="3"/>
  <c r="F6" i="3"/>
  <c r="E10" i="3" l="1"/>
  <c r="E11" i="3" s="1"/>
  <c r="F8" i="3"/>
  <c r="F5" i="3"/>
  <c r="H2" i="3"/>
  <c r="G6" i="3"/>
  <c r="G3" i="3"/>
  <c r="G4" i="3"/>
  <c r="F7" i="3"/>
  <c r="F10" i="3" s="1"/>
  <c r="F11" i="3" s="1"/>
  <c r="G5" i="3" l="1"/>
  <c r="G7" i="3" s="1"/>
  <c r="G8" i="3"/>
  <c r="I2" i="3"/>
  <c r="H6" i="3"/>
  <c r="H4" i="3"/>
  <c r="H3" i="3"/>
  <c r="G10" i="3" l="1"/>
  <c r="G11" i="3" s="1"/>
  <c r="I6" i="3"/>
  <c r="I4" i="3"/>
  <c r="J2" i="3"/>
  <c r="I3" i="3"/>
  <c r="H8" i="3"/>
  <c r="H5" i="3"/>
  <c r="H7" i="3" s="1"/>
  <c r="H10" i="3" l="1"/>
  <c r="H11" i="3" s="1"/>
  <c r="I5" i="3"/>
  <c r="I8" i="3"/>
  <c r="J4" i="3"/>
  <c r="K2" i="3"/>
  <c r="J3" i="3"/>
  <c r="J6" i="3"/>
  <c r="I7" i="3"/>
  <c r="I10" i="3" s="1"/>
  <c r="I11" i="3" s="1"/>
  <c r="K4" i="3" l="1"/>
  <c r="K3" i="3"/>
  <c r="K6" i="3"/>
  <c r="L2" i="3"/>
  <c r="J8" i="3"/>
  <c r="J5" i="3"/>
  <c r="J7" i="3" s="1"/>
  <c r="J10" i="3" s="1"/>
  <c r="J11" i="3" s="1"/>
  <c r="L3" i="3" l="1"/>
  <c r="L4" i="3"/>
  <c r="M2" i="3"/>
  <c r="L6" i="3"/>
  <c r="K5" i="3"/>
  <c r="K8" i="3"/>
  <c r="K7" i="3"/>
  <c r="K10" i="3" l="1"/>
  <c r="K11" i="3" s="1"/>
  <c r="M3" i="3"/>
  <c r="M6" i="3"/>
  <c r="M4" i="3"/>
  <c r="L8" i="3"/>
  <c r="L5" i="3"/>
  <c r="L7" i="3" s="1"/>
  <c r="L10" i="3" s="1"/>
  <c r="L11" i="3" s="1"/>
  <c r="M5" i="3" l="1"/>
  <c r="M7" i="3" s="1"/>
  <c r="M8" i="3"/>
  <c r="M10" i="3" l="1"/>
  <c r="M11" i="3" s="1"/>
</calcChain>
</file>

<file path=xl/sharedStrings.xml><?xml version="1.0" encoding="utf-8"?>
<sst xmlns="http://schemas.openxmlformats.org/spreadsheetml/2006/main" count="101" uniqueCount="91">
  <si>
    <t>פרמטר</t>
  </si>
  <si>
    <t>ערך (לשינוי)</t>
  </si>
  <si>
    <t>יחידה</t>
  </si>
  <si>
    <t>הסבר למודל</t>
  </si>
  <si>
    <t>--- מדדי צמיחה ופעילות ---</t>
  </si>
  <si>
    <t>הזמנות ביום (חודש 1)</t>
  </si>
  <si>
    <t>מספר</t>
  </si>
  <si>
    <t>נפח התחלתי יומי</t>
  </si>
  <si>
    <t>ימי פעילות בחודש</t>
  </si>
  <si>
    <t>ימים</t>
  </si>
  <si>
    <t>ממוצע ימי עבודה (ללא שבתות)</t>
  </si>
  <si>
    <t>צמיחה חודשית בכמות הזמנות</t>
  </si>
  <si>
    <t>%</t>
  </si>
  <si>
    <t>קצב גידול חודשי (MOM Growth)</t>
  </si>
  <si>
    <t>אחוז נטישת לקוחות (Churn)</t>
  </si>
  <si>
    <t>אחוז לקוחות שלא חוזרים בחודש הבא</t>
  </si>
  <si>
    <t>--- הכנסות והוצאות משתנות ---</t>
  </si>
  <si>
    <t>מחיר ממוצע למשלוח (ללא מע"מ)</t>
  </si>
  <si>
    <t>₪</t>
  </si>
  <si>
    <t>AOV - שווי הזמנה ממוצע</t>
  </si>
  <si>
    <t>עמלת תשלום לשליח פרילנסר</t>
  </si>
  <si>
    <t>אחוז ממחיר המשלוח שעובר לשליח</t>
  </si>
  <si>
    <t>עלות סליקה וטכנולוגיה (API)</t>
  </si>
  <si>
    <t>עלויות פר-משלוח: סליקה, SMS, מפות</t>
  </si>
  <si>
    <t>--- הוצאות קבועות ושיווק ---</t>
  </si>
  <si>
    <t>עלות רכישת לקוח (CAC)</t>
  </si>
  <si>
    <t>עלות שיווק דיגיטלי להבאת משלוח חדש</t>
  </si>
  <si>
    <t>תוכנה ושרתים (חודשי)</t>
  </si>
  <si>
    <t>מערכת שילוח מבוססת SaaS ואחסון</t>
  </si>
  <si>
    <t>שכר מטה ומוקד (חודשי)</t>
  </si>
  <si>
    <t>מנהל תפעול / שירות לקוחות</t>
  </si>
  <si>
    <t>הנהח"ש, ביטוח ושונות</t>
  </si>
  <si>
    <t>הוצאות משרד ורגולציה</t>
  </si>
  <si>
    <t>ניתוח רווחיות למשלוח בודד</t>
  </si>
  <si>
    <t>סכום</t>
  </si>
  <si>
    <t>מחיר משלוח ממוצע ללקוח</t>
  </si>
  <si>
    <t>פחות: תשלום לשליח פרילנסר</t>
  </si>
  <si>
    <t>פחות: סליקה וטכנולוגיה</t>
  </si>
  <si>
    <t>רווח גולמי למשלוח (Contribution Margin)</t>
  </si>
  <si>
    <t>מרווח רווחיות (%)</t>
  </si>
  <si>
    <t>סעיף פיננסי</t>
  </si>
  <si>
    <t>חודש 1</t>
  </si>
  <si>
    <t>חודש 2</t>
  </si>
  <si>
    <t>חודש 3</t>
  </si>
  <si>
    <t>חודש 4</t>
  </si>
  <si>
    <t>חודש 5</t>
  </si>
  <si>
    <t>חודש 6</t>
  </si>
  <si>
    <t>חודש 7</t>
  </si>
  <si>
    <t>חודש 8</t>
  </si>
  <si>
    <t>חודש 9</t>
  </si>
  <si>
    <t>חודש 10</t>
  </si>
  <si>
    <t>חודש 11</t>
  </si>
  <si>
    <t>חודש 12</t>
  </si>
  <si>
    <t>סה"כ משלוחים בחודש</t>
  </si>
  <si>
    <t>משלוחים חדשים (לחישוב שיווק)</t>
  </si>
  <si>
    <t>הכנסות ברוטו (Revenue)</t>
  </si>
  <si>
    <t>תשלום לשליחים (COGS)</t>
  </si>
  <si>
    <t>סליקה, SMS ומפות (COGS)</t>
  </si>
  <si>
    <t>רווח גולמי (Gross Profit)</t>
  </si>
  <si>
    <t>הוצאות שיווק ופרסום (CAC)</t>
  </si>
  <si>
    <t>הוצאות תפעול ומטה (OPEX)</t>
  </si>
  <si>
    <t>רווח תפעולי (EBITDA)</t>
  </si>
  <si>
    <t>אחוז רווח תפעולי (Margin)</t>
  </si>
  <si>
    <t>מחירי משלוחים</t>
  </si>
  <si>
    <t>עמלת קריאה</t>
  </si>
  <si>
    <t>מינ׳ ק״מ לחישוב</t>
  </si>
  <si>
    <t>מחיר מינ׳ להזמנה</t>
  </si>
  <si>
    <t>תעריף שעות</t>
  </si>
  <si>
    <t>תעריף מועד</t>
  </si>
  <si>
    <t>מחיר לק״מ</t>
  </si>
  <si>
    <t>80+</t>
  </si>
  <si>
    <t>כולל מע״מ</t>
  </si>
  <si>
    <t>עד 6</t>
  </si>
  <si>
    <t>מחיר יחידה</t>
  </si>
  <si>
    <t>חישוב</t>
  </si>
  <si>
    <t>כולל עמלה</t>
  </si>
  <si>
    <t>עד 30 דקות</t>
  </si>
  <si>
    <t>עד 45 דקות</t>
  </si>
  <si>
    <t>עד שעה</t>
  </si>
  <si>
    <t>זמן נסיעה (לצד)</t>
  </si>
  <si>
    <t>שעה ורבע</t>
  </si>
  <si>
    <t>שעה וחצי</t>
  </si>
  <si>
    <t>27-36</t>
  </si>
  <si>
    <t>37-44</t>
  </si>
  <si>
    <t>44-59</t>
  </si>
  <si>
    <t>60-79</t>
  </si>
  <si>
    <t>07-12</t>
  </si>
  <si>
    <t>13-25</t>
  </si>
  <si>
    <t>13-22</t>
  </si>
  <si>
    <t>80 כל ק״מ נוסף +3.7</t>
  </si>
  <si>
    <t>עמלת בסיס לק״מ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</si>
</sst>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₪&quot;* #,##0.00_);_(&quot;₪&quot;* \(#,##0.00\);_(&quot;₪&quot;* &quot;-&quot;??_);_(@_)"/>
    <numFmt numFmtId="165" formatCode="0.0%"/>
    <numFmt numFmtId="166" formatCode="\₪#,##0.00"/>
    <numFmt numFmtId="167" formatCode="\₪#,##0"/>
    <numFmt numFmtId="168" formatCode="_(&quot;₪&quot;* #,##0_);_(&quot;₪&quot;* \(#,##0\);_(&quot;₪&quot;* &quot;-&quot;??_);_(@_)"/>
  </numFmts>
  <fonts count="5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C00000"/>
      <name val="Arial"/>
      <family val="2"/>
      <scheme val="minor"/>
    </font>
    <font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4" fontId="0" fillId="4" borderId="1" xfId="0" applyNumberFormat="1" applyFill="1" applyBorder="1"/>
    <xf numFmtId="165" fontId="0" fillId="4" borderId="1" xfId="0" applyNumberFormat="1" applyFill="1" applyBorder="1"/>
    <xf numFmtId="166" fontId="0" fillId="0" borderId="1" xfId="0" applyNumberFormat="1" applyBorder="1"/>
    <xf numFmtId="3" fontId="0" fillId="0" borderId="1" xfId="0" applyNumberFormat="1" applyBorder="1"/>
    <xf numFmtId="167" fontId="3" fillId="0" borderId="1" xfId="0" applyNumberFormat="1" applyFont="1" applyBorder="1"/>
    <xf numFmtId="167" fontId="2" fillId="5" borderId="1" xfId="0" applyNumberFormat="1" applyFont="1" applyFill="1" applyBorder="1"/>
    <xf numFmtId="165" fontId="0" fillId="0" borderId="1" xfId="0" applyNumberFormat="1" applyBorder="1"/>
    <xf numFmtId="167" fontId="0" fillId="0" borderId="1" xfId="0" applyNumberFormat="1" applyBorder="1"/>
    <xf numFmtId="4" fontId="0" fillId="0" borderId="0" xfId="0" applyNumberFormat="1"/>
    <xf numFmtId="2" fontId="0" fillId="0" borderId="0" xfId="0" applyNumberFormat="1"/>
    <xf numFmtId="49" fontId="0" fillId="0" borderId="0" xfId="0" applyNumberFormat="1"/>
    <xf numFmtId="9" fontId="0" fillId="0" borderId="0" xfId="0" applyNumberFormat="1"/>
    <xf numFmtId="9" fontId="0" fillId="0" borderId="0" xfId="2" applyFont="1"/>
    <xf numFmtId="164" fontId="0" fillId="0" borderId="0" xfId="1" applyFont="1"/>
    <xf numFmtId="168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תחזית הכנסות מול רווח תפעולי (₪)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הכנסות ברוטו</c:v>
          </c:tx>
          <c:spPr>
            <a:solidFill>
              <a:srgbClr val="4472C4"/>
            </a:solidFill>
          </c:spPr>
          <c:invertIfNegative val="0"/>
          <c:cat>
            <c:strRef>
              <c:f>'רווח והפסד 12 חודשים'!$B$1:$M$1</c:f>
              <c:strCache>
                <c:ptCount val="12"/>
                <c:pt idx="0">
                  <c:v>חודש 1</c:v>
                </c:pt>
                <c:pt idx="1">
                  <c:v>חודש 2</c:v>
                </c:pt>
                <c:pt idx="2">
                  <c:v>חודש 3</c:v>
                </c:pt>
                <c:pt idx="3">
                  <c:v>חודש 4</c:v>
                </c:pt>
                <c:pt idx="4">
                  <c:v>חודש 5</c:v>
                </c:pt>
                <c:pt idx="5">
                  <c:v>חודש 6</c:v>
                </c:pt>
                <c:pt idx="6">
                  <c:v>חודש 7</c:v>
                </c:pt>
                <c:pt idx="7">
                  <c:v>חודש 8</c:v>
                </c:pt>
                <c:pt idx="8">
                  <c:v>חודש 9</c:v>
                </c:pt>
                <c:pt idx="9">
                  <c:v>חודש 10</c:v>
                </c:pt>
                <c:pt idx="10">
                  <c:v>חודש 11</c:v>
                </c:pt>
                <c:pt idx="11">
                  <c:v>חודש 12</c:v>
                </c:pt>
              </c:strCache>
            </c:strRef>
          </c:cat>
          <c:val>
            <c:numRef>
              <c:f>'רווח והפסד 12 חודשים'!$B$4:$M$4</c:f>
              <c:numCache>
                <c:formatCode>\₪#,##0</c:formatCode>
                <c:ptCount val="12"/>
                <c:pt idx="0">
                  <c:v>29700</c:v>
                </c:pt>
                <c:pt idx="1">
                  <c:v>34154.999999999993</c:v>
                </c:pt>
                <c:pt idx="2">
                  <c:v>39278.249999999993</c:v>
                </c:pt>
                <c:pt idx="3">
                  <c:v>45169.987499999988</c:v>
                </c:pt>
                <c:pt idx="4">
                  <c:v>51945.485624999987</c:v>
                </c:pt>
                <c:pt idx="5">
                  <c:v>59737.30846874998</c:v>
                </c:pt>
                <c:pt idx="6">
                  <c:v>68697.904739062476</c:v>
                </c:pt>
                <c:pt idx="7">
                  <c:v>79002.59044992183</c:v>
                </c:pt>
                <c:pt idx="8">
                  <c:v>90852.979017410093</c:v>
                </c:pt>
                <c:pt idx="9">
                  <c:v>104480.92587002162</c:v>
                </c:pt>
                <c:pt idx="10">
                  <c:v>120153.06475052485</c:v>
                </c:pt>
                <c:pt idx="11">
                  <c:v>138176.02446310359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4-5847-A7CF-AA68D8DA658D}"/>
            </c:ext>
          </c:extLst>
        </c:ser>
        <c:ser>
          <c:idx val="1"/>
          <c:order val="1"/>
          <c:tx>
            <c:v>רווח תפעולי (EBITDA)</c:v>
          </c:tx>
          <c:spPr>
            <a:ln w="31750">
              <a:solidFill>
                <a:srgbClr val="C00000"/>
              </a:solidFill>
            </a:ln>
          </c:spPr>
          <c:invertIfNegative val="0"/>
          <c:cat>
            <c:strRef>
              <c:f>'רווח והפסד 12 חודשים'!$B$1:$M$1</c:f>
              <c:strCache>
                <c:ptCount val="12"/>
                <c:pt idx="0">
                  <c:v>חודש 1</c:v>
                </c:pt>
                <c:pt idx="1">
                  <c:v>חודש 2</c:v>
                </c:pt>
                <c:pt idx="2">
                  <c:v>חודש 3</c:v>
                </c:pt>
                <c:pt idx="3">
                  <c:v>חודש 4</c:v>
                </c:pt>
                <c:pt idx="4">
                  <c:v>חודש 5</c:v>
                </c:pt>
                <c:pt idx="5">
                  <c:v>חודש 6</c:v>
                </c:pt>
                <c:pt idx="6">
                  <c:v>חודש 7</c:v>
                </c:pt>
                <c:pt idx="7">
                  <c:v>חודש 8</c:v>
                </c:pt>
                <c:pt idx="8">
                  <c:v>חודש 9</c:v>
                </c:pt>
                <c:pt idx="9">
                  <c:v>חודש 10</c:v>
                </c:pt>
                <c:pt idx="10">
                  <c:v>חודש 11</c:v>
                </c:pt>
                <c:pt idx="11">
                  <c:v>חודש 12</c:v>
                </c:pt>
              </c:strCache>
            </c:strRef>
          </c:cat>
          <c:val>
            <c:numRef>
              <c:f>'רווח והפסד 12 חודשים'!$B$10:$M$10</c:f>
              <c:numCache>
                <c:formatCode>\₪#,##0</c:formatCode>
                <c:ptCount val="12"/>
                <c:pt idx="0">
                  <c:v>3206</c:v>
                </c:pt>
                <c:pt idx="1">
                  <c:v>17316.799999999996</c:v>
                </c:pt>
                <c:pt idx="2">
                  <c:v>21819.319999999992</c:v>
                </c:pt>
                <c:pt idx="3">
                  <c:v>26997.217999999993</c:v>
                </c:pt>
                <c:pt idx="4">
                  <c:v>32951.800699999985</c:v>
                </c:pt>
                <c:pt idx="5">
                  <c:v>39799.570804999988</c:v>
                </c:pt>
                <c:pt idx="6">
                  <c:v>47674.506425749983</c:v>
                </c:pt>
                <c:pt idx="7">
                  <c:v>56730.68238961247</c:v>
                </c:pt>
                <c:pt idx="8">
                  <c:v>67145.284748054313</c:v>
                </c:pt>
                <c:pt idx="9">
                  <c:v>79122.077460262473</c:v>
                </c:pt>
                <c:pt idx="10">
                  <c:v>92895.389079301836</c:v>
                </c:pt>
                <c:pt idx="11">
                  <c:v>108734.69744119713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D4-5847-A7CF-AA68D8DA6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חודשי פעילות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\₪#,##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תחזית צמיחת נפח משלוחים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סה"כ משלוחים בחודש</c:v>
          </c:tx>
          <c:spPr>
            <a:solidFill>
              <a:srgbClr val="70AD47">
                <a:alpha val="60000"/>
              </a:srgbClr>
            </a:solidFill>
            <a:ln>
              <a:solidFill>
                <a:srgbClr val="548235"/>
              </a:solidFill>
            </a:ln>
          </c:spPr>
          <c:cat>
            <c:strRef>
              <c:f>'רווח והפסד 12 חודשים'!$B$1:$M$1</c:f>
              <c:strCache>
                <c:ptCount val="12"/>
                <c:pt idx="0">
                  <c:v>חודש 1</c:v>
                </c:pt>
                <c:pt idx="1">
                  <c:v>חודש 2</c:v>
                </c:pt>
                <c:pt idx="2">
                  <c:v>חודש 3</c:v>
                </c:pt>
                <c:pt idx="3">
                  <c:v>חודש 4</c:v>
                </c:pt>
                <c:pt idx="4">
                  <c:v>חודש 5</c:v>
                </c:pt>
                <c:pt idx="5">
                  <c:v>חודש 6</c:v>
                </c:pt>
                <c:pt idx="6">
                  <c:v>חודש 7</c:v>
                </c:pt>
                <c:pt idx="7">
                  <c:v>חודש 8</c:v>
                </c:pt>
                <c:pt idx="8">
                  <c:v>חודש 9</c:v>
                </c:pt>
                <c:pt idx="9">
                  <c:v>חודש 10</c:v>
                </c:pt>
                <c:pt idx="10">
                  <c:v>חודש 11</c:v>
                </c:pt>
                <c:pt idx="11">
                  <c:v>חודש 12</c:v>
                </c:pt>
              </c:strCache>
            </c:strRef>
          </c:cat>
          <c:val>
            <c:numRef>
              <c:f>'רווח והפסד 12 חודשים'!$B$2:$M$2</c:f>
              <c:numCache>
                <c:formatCode>#,##0</c:formatCode>
                <c:ptCount val="12"/>
                <c:pt idx="0">
                  <c:v>660</c:v>
                </c:pt>
                <c:pt idx="1">
                  <c:v>758.99999999999989</c:v>
                </c:pt>
                <c:pt idx="2">
                  <c:v>872.8499999999998</c:v>
                </c:pt>
                <c:pt idx="3">
                  <c:v>1003.7774999999997</c:v>
                </c:pt>
                <c:pt idx="4">
                  <c:v>1154.3441249999996</c:v>
                </c:pt>
                <c:pt idx="5">
                  <c:v>1327.4957437499995</c:v>
                </c:pt>
                <c:pt idx="6">
                  <c:v>1526.6201053124994</c:v>
                </c:pt>
                <c:pt idx="7">
                  <c:v>1755.6131211093741</c:v>
                </c:pt>
                <c:pt idx="8">
                  <c:v>2018.95508927578</c:v>
                </c:pt>
                <c:pt idx="9">
                  <c:v>2321.7983526671469</c:v>
                </c:pt>
                <c:pt idx="10">
                  <c:v>2670.0681055672189</c:v>
                </c:pt>
                <c:pt idx="11">
                  <c:v>3070.5783214023018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6-C64E-B788-B2283530E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area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חודשי פעילות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228600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10</xdr:col>
      <xdr:colOff>228600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3A1526-F94A-8941-A2AA-126F11E02F2F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rightToLeft="1" tabSelected="1" topLeftCell="A36" zoomScale="158" workbookViewId="0">
      <selection activeCell="D56" sqref="D56"/>
    </sheetView>
  </sheetViews>
  <sheetFormatPr defaultColWidth="8.83203125" defaultRowHeight="14" x14ac:dyDescent="0.3"/>
  <cols>
    <col min="1" max="1" width="30.6640625" customWidth="1"/>
    <col min="2" max="2" width="15.6640625" customWidth="1"/>
    <col min="3" max="3" width="10.6640625" customWidth="1"/>
    <col min="4" max="4" width="45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</row>
    <row r="3" spans="1:4" x14ac:dyDescent="0.3">
      <c r="A3" s="3" t="s">
        <v>5</v>
      </c>
      <c r="B3" s="3">
        <v>30</v>
      </c>
      <c r="C3" t="s">
        <v>6</v>
      </c>
      <c r="D3" t="s">
        <v>7</v>
      </c>
    </row>
    <row r="4" spans="1:4" x14ac:dyDescent="0.3">
      <c r="A4" s="3" t="s">
        <v>8</v>
      </c>
      <c r="B4" s="3">
        <v>22</v>
      </c>
      <c r="C4" t="s">
        <v>9</v>
      </c>
      <c r="D4" t="s">
        <v>10</v>
      </c>
    </row>
    <row r="5" spans="1:4" x14ac:dyDescent="0.3">
      <c r="A5" s="4" t="s">
        <v>11</v>
      </c>
      <c r="B5" s="4">
        <v>0.15</v>
      </c>
      <c r="C5" t="s">
        <v>12</v>
      </c>
      <c r="D5" t="s">
        <v>13</v>
      </c>
    </row>
    <row r="6" spans="1:4" x14ac:dyDescent="0.3">
      <c r="A6" s="4" t="s">
        <v>14</v>
      </c>
      <c r="B6" s="4">
        <v>0.05</v>
      </c>
      <c r="C6" t="s">
        <v>12</v>
      </c>
      <c r="D6" t="s">
        <v>15</v>
      </c>
    </row>
    <row r="7" spans="1:4" x14ac:dyDescent="0.3">
      <c r="A7" s="2" t="s">
        <v>16</v>
      </c>
    </row>
    <row r="8" spans="1:4" x14ac:dyDescent="0.3">
      <c r="A8" s="3" t="s">
        <v>17</v>
      </c>
      <c r="B8" s="3">
        <v>45</v>
      </c>
      <c r="C8" t="s">
        <v>18</v>
      </c>
      <c r="D8" t="s">
        <v>19</v>
      </c>
    </row>
    <row r="9" spans="1:4" x14ac:dyDescent="0.3">
      <c r="A9" s="4" t="s">
        <v>20</v>
      </c>
      <c r="B9" s="4">
        <v>0.7</v>
      </c>
      <c r="C9" t="s">
        <v>12</v>
      </c>
      <c r="D9" t="s">
        <v>21</v>
      </c>
    </row>
    <row r="10" spans="1:4" x14ac:dyDescent="0.3">
      <c r="A10" s="3" t="s">
        <v>22</v>
      </c>
      <c r="B10" s="3">
        <v>2.2000000000000002</v>
      </c>
      <c r="C10" t="s">
        <v>18</v>
      </c>
      <c r="D10" t="s">
        <v>23</v>
      </c>
    </row>
    <row r="11" spans="1:4" x14ac:dyDescent="0.3">
      <c r="A11" s="2" t="s">
        <v>24</v>
      </c>
    </row>
    <row r="12" spans="1:4" x14ac:dyDescent="0.3">
      <c r="A12" s="3" t="s">
        <v>25</v>
      </c>
      <c r="B12" s="3">
        <v>18</v>
      </c>
      <c r="C12" t="s">
        <v>18</v>
      </c>
      <c r="D12" t="s">
        <v>26</v>
      </c>
    </row>
    <row r="13" spans="1:4" x14ac:dyDescent="0.3">
      <c r="A13" s="3" t="s">
        <v>27</v>
      </c>
      <c r="B13" s="3">
        <v>1200</v>
      </c>
      <c r="C13" t="s">
        <v>18</v>
      </c>
      <c r="D13" t="s">
        <v>28</v>
      </c>
    </row>
    <row r="14" spans="1:4" x14ac:dyDescent="0.3">
      <c r="A14" s="3" t="s">
        <v>29</v>
      </c>
      <c r="B14" s="3">
        <v>9000</v>
      </c>
      <c r="C14" t="s">
        <v>18</v>
      </c>
      <c r="D14" t="s">
        <v>30</v>
      </c>
    </row>
    <row r="15" spans="1:4" x14ac:dyDescent="0.3">
      <c r="A15" s="3" t="s">
        <v>31</v>
      </c>
      <c r="B15" s="3">
        <v>2500</v>
      </c>
      <c r="C15" t="s">
        <v>18</v>
      </c>
      <c r="D15" t="s">
        <v>32</v>
      </c>
    </row>
    <row r="21" spans="1:4" x14ac:dyDescent="0.3">
      <c r="A21" s="2" t="s">
        <v>63</v>
      </c>
      <c r="B21" t="s">
        <v>71</v>
      </c>
    </row>
    <row r="22" spans="1:4" x14ac:dyDescent="0.3">
      <c r="A22" s="3" t="s">
        <v>64</v>
      </c>
      <c r="B22" s="3">
        <v>24.6</v>
      </c>
    </row>
    <row r="23" spans="1:4" x14ac:dyDescent="0.3">
      <c r="A23" s="3" t="s">
        <v>90</v>
      </c>
      <c r="B23" s="3">
        <f>1.5*3.5</f>
        <v>5.25</v>
      </c>
    </row>
    <row r="25" spans="1:4" x14ac:dyDescent="0.3">
      <c r="A25" s="3" t="s">
        <v>65</v>
      </c>
      <c r="B25" s="3">
        <v>6</v>
      </c>
    </row>
    <row r="26" spans="1:4" x14ac:dyDescent="0.3">
      <c r="A26" s="3" t="s">
        <v>66</v>
      </c>
      <c r="B26" s="3">
        <f>B25*B23+B22</f>
        <v>56.1</v>
      </c>
      <c r="D26" s="11"/>
    </row>
    <row r="31" spans="1:4" x14ac:dyDescent="0.3">
      <c r="A31" s="2" t="s">
        <v>63</v>
      </c>
    </row>
    <row r="32" spans="1:4" x14ac:dyDescent="0.3">
      <c r="A32" s="3"/>
      <c r="B32" s="3"/>
    </row>
    <row r="33" spans="1:5" x14ac:dyDescent="0.3">
      <c r="A33" s="3"/>
      <c r="B33" s="3"/>
    </row>
    <row r="34" spans="1:5" x14ac:dyDescent="0.3">
      <c r="A34" s="3"/>
      <c r="B34" s="3"/>
    </row>
    <row r="36" spans="1:5" x14ac:dyDescent="0.3">
      <c r="A36" s="2" t="s">
        <v>63</v>
      </c>
    </row>
    <row r="37" spans="1:5" x14ac:dyDescent="0.3">
      <c r="A37" s="3" t="s">
        <v>67</v>
      </c>
      <c r="B37" s="3"/>
    </row>
    <row r="38" spans="1:5" x14ac:dyDescent="0.3">
      <c r="A38" s="3" t="s">
        <v>68</v>
      </c>
      <c r="B38" s="3"/>
    </row>
    <row r="41" spans="1:5" x14ac:dyDescent="0.3">
      <c r="A41" t="s">
        <v>69</v>
      </c>
      <c r="B41" t="s">
        <v>73</v>
      </c>
      <c r="C41" t="s">
        <v>74</v>
      </c>
      <c r="D41" t="s">
        <v>69</v>
      </c>
      <c r="E41" t="s">
        <v>75</v>
      </c>
    </row>
    <row r="42" spans="1:5" x14ac:dyDescent="0.3">
      <c r="A42" t="s">
        <v>72</v>
      </c>
      <c r="B42" s="16">
        <v>5.25</v>
      </c>
      <c r="C42">
        <v>6</v>
      </c>
      <c r="D42" s="17">
        <f>C42*B42</f>
        <v>31.5</v>
      </c>
      <c r="E42" s="17">
        <f>D42+$B$22</f>
        <v>56.1</v>
      </c>
    </row>
    <row r="43" spans="1:5" x14ac:dyDescent="0.3">
      <c r="A43" s="13" t="s">
        <v>86</v>
      </c>
      <c r="B43" s="16">
        <v>5.25</v>
      </c>
      <c r="C43">
        <v>12</v>
      </c>
      <c r="D43" s="17">
        <f>B43*C43</f>
        <v>63</v>
      </c>
      <c r="E43" s="17">
        <f>D43+$B$22</f>
        <v>87.6</v>
      </c>
    </row>
    <row r="44" spans="1:5" x14ac:dyDescent="0.3">
      <c r="A44" s="13" t="s">
        <v>88</v>
      </c>
      <c r="B44" s="16">
        <v>5.05</v>
      </c>
      <c r="C44">
        <v>22</v>
      </c>
      <c r="D44" s="17">
        <f>B44*C44</f>
        <v>111.1</v>
      </c>
      <c r="E44" s="17">
        <f>D44+$B$22</f>
        <v>135.69999999999999</v>
      </c>
    </row>
    <row r="45" spans="1:5" x14ac:dyDescent="0.3">
      <c r="A45" s="13" t="s">
        <v>87</v>
      </c>
      <c r="B45" s="16">
        <v>5.05</v>
      </c>
      <c r="C45">
        <v>25</v>
      </c>
      <c r="D45" s="17">
        <f>B45*C45</f>
        <v>126.25</v>
      </c>
      <c r="E45" s="17">
        <f t="shared" ref="E45:E46" si="0">D45+$B$22</f>
        <v>150.85</v>
      </c>
    </row>
    <row r="46" spans="1:5" x14ac:dyDescent="0.3">
      <c r="A46" s="13" t="s">
        <v>82</v>
      </c>
      <c r="B46" s="16">
        <v>4.6500000000000004</v>
      </c>
      <c r="C46">
        <v>36</v>
      </c>
      <c r="D46" s="17">
        <f t="shared" ref="D46:D49" si="1">B46*C46</f>
        <v>167.4</v>
      </c>
      <c r="E46" s="17">
        <f t="shared" si="0"/>
        <v>192</v>
      </c>
    </row>
    <row r="47" spans="1:5" x14ac:dyDescent="0.3">
      <c r="A47" s="13" t="s">
        <v>83</v>
      </c>
      <c r="B47" s="16">
        <v>4.05</v>
      </c>
      <c r="C47">
        <v>44</v>
      </c>
      <c r="D47" s="17">
        <f t="shared" si="1"/>
        <v>178.2</v>
      </c>
      <c r="E47" s="17">
        <f>D47+$B$22</f>
        <v>202.79999999999998</v>
      </c>
    </row>
    <row r="48" spans="1:5" x14ac:dyDescent="0.3">
      <c r="A48" s="13" t="s">
        <v>84</v>
      </c>
      <c r="B48" s="16">
        <v>3.85</v>
      </c>
      <c r="C48">
        <v>59</v>
      </c>
      <c r="D48" s="17">
        <f t="shared" si="1"/>
        <v>227.15</v>
      </c>
      <c r="E48" s="17">
        <f t="shared" ref="E48:E50" si="2">D48+$B$22</f>
        <v>251.75</v>
      </c>
    </row>
    <row r="49" spans="1:5" x14ac:dyDescent="0.3">
      <c r="A49" s="12" t="s">
        <v>85</v>
      </c>
      <c r="B49" s="16">
        <v>3.75</v>
      </c>
      <c r="C49">
        <v>79</v>
      </c>
      <c r="D49" s="17">
        <f t="shared" si="1"/>
        <v>296.25</v>
      </c>
      <c r="E49" s="17">
        <f t="shared" si="2"/>
        <v>320.85000000000002</v>
      </c>
    </row>
    <row r="50" spans="1:5" x14ac:dyDescent="0.3">
      <c r="A50" s="12" t="s">
        <v>70</v>
      </c>
      <c r="B50" s="16">
        <v>3.75</v>
      </c>
      <c r="C50" t="s">
        <v>89</v>
      </c>
      <c r="D50" s="17">
        <f>B50*80</f>
        <v>300</v>
      </c>
      <c r="E50" s="17">
        <f t="shared" si="2"/>
        <v>324.60000000000002</v>
      </c>
    </row>
    <row r="54" spans="1:5" x14ac:dyDescent="0.3">
      <c r="A54" t="s">
        <v>79</v>
      </c>
    </row>
    <row r="55" spans="1:5" x14ac:dyDescent="0.3">
      <c r="A55" t="s">
        <v>76</v>
      </c>
      <c r="B55" s="14">
        <v>1</v>
      </c>
    </row>
    <row r="56" spans="1:5" x14ac:dyDescent="0.3">
      <c r="A56" t="s">
        <v>77</v>
      </c>
      <c r="B56" s="14">
        <f>B55*1.25</f>
        <v>1.25</v>
      </c>
    </row>
    <row r="57" spans="1:5" x14ac:dyDescent="0.3">
      <c r="A57" t="s">
        <v>78</v>
      </c>
      <c r="B57" s="14">
        <f>B55*1.75</f>
        <v>1.75</v>
      </c>
    </row>
    <row r="58" spans="1:5" x14ac:dyDescent="0.3">
      <c r="A58" t="s">
        <v>80</v>
      </c>
      <c r="B58" s="15">
        <f>B55*2.25</f>
        <v>2.25</v>
      </c>
    </row>
    <row r="59" spans="1:5" x14ac:dyDescent="0.3">
      <c r="A59" t="s">
        <v>81</v>
      </c>
      <c r="B59" s="15">
        <f>B55*2.5</f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rightToLeft="1" workbookViewId="0"/>
  </sheetViews>
  <sheetFormatPr defaultColWidth="8.83203125" defaultRowHeight="14" x14ac:dyDescent="0.3"/>
  <cols>
    <col min="1" max="1" width="35.6640625" customWidth="1"/>
    <col min="2" max="2" width="15.6640625" customWidth="1"/>
  </cols>
  <sheetData>
    <row r="1" spans="1:2" x14ac:dyDescent="0.3">
      <c r="A1" s="1" t="s">
        <v>33</v>
      </c>
      <c r="B1" s="1" t="s">
        <v>34</v>
      </c>
    </row>
    <row r="2" spans="1:2" x14ac:dyDescent="0.3">
      <c r="A2" s="2" t="s">
        <v>35</v>
      </c>
      <c r="B2" s="5">
        <f>AOV</f>
        <v>45</v>
      </c>
    </row>
    <row r="3" spans="1:2" x14ac:dyDescent="0.3">
      <c r="A3" s="6" t="s">
        <v>36</v>
      </c>
      <c r="B3" s="7">
        <f>AOV*Courier_Cut</f>
        <v>31.499999999999996</v>
      </c>
    </row>
    <row r="4" spans="1:2" x14ac:dyDescent="0.3">
      <c r="A4" s="6" t="s">
        <v>37</v>
      </c>
      <c r="B4" s="7">
        <f>Var_Tech_Cost</f>
        <v>2.2000000000000002</v>
      </c>
    </row>
    <row r="5" spans="1:2" x14ac:dyDescent="0.3">
      <c r="A5" s="8" t="s">
        <v>38</v>
      </c>
      <c r="B5" s="5">
        <f>B2-B3-B4</f>
        <v>11.300000000000004</v>
      </c>
    </row>
    <row r="6" spans="1:2" x14ac:dyDescent="0.3">
      <c r="A6" s="2" t="s">
        <v>39</v>
      </c>
      <c r="B6" s="9">
        <f>B5/B2</f>
        <v>0.25111111111111123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rightToLeft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83203125" defaultRowHeight="14" x14ac:dyDescent="0.3"/>
  <cols>
    <col min="1" max="1" width="30.6640625" customWidth="1"/>
    <col min="2" max="13" width="12.6640625" customWidth="1"/>
  </cols>
  <sheetData>
    <row r="1" spans="1:13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spans="1:13" x14ac:dyDescent="0.3">
      <c r="A2" s="2" t="s">
        <v>53</v>
      </c>
      <c r="B2" s="6">
        <f>Start_Orders * Work_Days</f>
        <v>660</v>
      </c>
      <c r="C2" s="6">
        <f t="shared" ref="C2:M2" si="0">B2 * (1 + Growth_Rate)</f>
        <v>758.99999999999989</v>
      </c>
      <c r="D2" s="6">
        <f t="shared" si="0"/>
        <v>872.8499999999998</v>
      </c>
      <c r="E2" s="6">
        <f t="shared" si="0"/>
        <v>1003.7774999999997</v>
      </c>
      <c r="F2" s="6">
        <f t="shared" si="0"/>
        <v>1154.3441249999996</v>
      </c>
      <c r="G2" s="6">
        <f t="shared" si="0"/>
        <v>1327.4957437499995</v>
      </c>
      <c r="H2" s="6">
        <f t="shared" si="0"/>
        <v>1526.6201053124994</v>
      </c>
      <c r="I2" s="6">
        <f t="shared" si="0"/>
        <v>1755.6131211093741</v>
      </c>
      <c r="J2" s="6">
        <f t="shared" si="0"/>
        <v>2018.95508927578</v>
      </c>
      <c r="K2" s="6">
        <f t="shared" si="0"/>
        <v>2321.7983526671469</v>
      </c>
      <c r="L2" s="6">
        <f t="shared" si="0"/>
        <v>2670.0681055672189</v>
      </c>
      <c r="M2" s="6">
        <f t="shared" si="0"/>
        <v>3070.5783214023018</v>
      </c>
    </row>
    <row r="3" spans="1:13" x14ac:dyDescent="0.3">
      <c r="A3" s="2" t="s">
        <v>54</v>
      </c>
      <c r="B3" s="6">
        <f>B2</f>
        <v>660</v>
      </c>
      <c r="C3" s="6">
        <f t="shared" ref="C3:M3" si="1">MAX(0, C2 - B2 + (B2 * Churn_Rate))</f>
        <v>131.99999999999989</v>
      </c>
      <c r="D3" s="6">
        <f t="shared" si="1"/>
        <v>151.7999999999999</v>
      </c>
      <c r="E3" s="6">
        <f t="shared" si="1"/>
        <v>174.56999999999988</v>
      </c>
      <c r="F3" s="6">
        <f t="shared" si="1"/>
        <v>200.75549999999993</v>
      </c>
      <c r="G3" s="6">
        <f t="shared" si="1"/>
        <v>230.86882499999987</v>
      </c>
      <c r="H3" s="6">
        <f t="shared" si="1"/>
        <v>265.49914874999985</v>
      </c>
      <c r="I3" s="6">
        <f t="shared" si="1"/>
        <v>305.3240210624997</v>
      </c>
      <c r="J3" s="6">
        <f t="shared" si="1"/>
        <v>351.12262422187462</v>
      </c>
      <c r="K3" s="6">
        <f t="shared" si="1"/>
        <v>403.79101785515593</v>
      </c>
      <c r="L3" s="6">
        <f t="shared" si="1"/>
        <v>464.35967053342938</v>
      </c>
      <c r="M3" s="6">
        <f t="shared" si="1"/>
        <v>534.01362111344383</v>
      </c>
    </row>
    <row r="4" spans="1:13" x14ac:dyDescent="0.3">
      <c r="A4" s="2" t="s">
        <v>55</v>
      </c>
      <c r="B4" s="10">
        <f t="shared" ref="B4:M4" si="2">B2 * AOV</f>
        <v>29700</v>
      </c>
      <c r="C4" s="10">
        <f t="shared" si="2"/>
        <v>34154.999999999993</v>
      </c>
      <c r="D4" s="10">
        <f t="shared" si="2"/>
        <v>39278.249999999993</v>
      </c>
      <c r="E4" s="10">
        <f t="shared" si="2"/>
        <v>45169.987499999988</v>
      </c>
      <c r="F4" s="10">
        <f t="shared" si="2"/>
        <v>51945.485624999987</v>
      </c>
      <c r="G4" s="10">
        <f t="shared" si="2"/>
        <v>59737.30846874998</v>
      </c>
      <c r="H4" s="10">
        <f t="shared" si="2"/>
        <v>68697.904739062476</v>
      </c>
      <c r="I4" s="10">
        <f t="shared" si="2"/>
        <v>79002.59044992183</v>
      </c>
      <c r="J4" s="10">
        <f t="shared" si="2"/>
        <v>90852.979017410093</v>
      </c>
      <c r="K4" s="10">
        <f t="shared" si="2"/>
        <v>104480.92587002162</v>
      </c>
      <c r="L4" s="10">
        <f t="shared" si="2"/>
        <v>120153.06475052485</v>
      </c>
      <c r="M4" s="10">
        <f t="shared" si="2"/>
        <v>138176.02446310359</v>
      </c>
    </row>
    <row r="5" spans="1:13" x14ac:dyDescent="0.3">
      <c r="A5" s="2" t="s">
        <v>56</v>
      </c>
      <c r="B5" s="7">
        <f t="shared" ref="B5:M5" si="3">B3 * Courier_Cut</f>
        <v>461.99999999999994</v>
      </c>
      <c r="C5" s="7">
        <f t="shared" si="3"/>
        <v>92.39999999999992</v>
      </c>
      <c r="D5" s="7">
        <f t="shared" si="3"/>
        <v>106.25999999999992</v>
      </c>
      <c r="E5" s="7">
        <f t="shared" si="3"/>
        <v>122.19899999999991</v>
      </c>
      <c r="F5" s="7">
        <f t="shared" si="3"/>
        <v>140.52884999999995</v>
      </c>
      <c r="G5" s="7">
        <f t="shared" si="3"/>
        <v>161.6081774999999</v>
      </c>
      <c r="H5" s="7">
        <f t="shared" si="3"/>
        <v>185.84940412499989</v>
      </c>
      <c r="I5" s="7">
        <f t="shared" si="3"/>
        <v>213.72681474374977</v>
      </c>
      <c r="J5" s="7">
        <f t="shared" si="3"/>
        <v>245.78583695531222</v>
      </c>
      <c r="K5" s="7">
        <f t="shared" si="3"/>
        <v>282.65371249860914</v>
      </c>
      <c r="L5" s="7">
        <f t="shared" si="3"/>
        <v>325.05176937340053</v>
      </c>
      <c r="M5" s="7">
        <f t="shared" si="3"/>
        <v>373.80953477941068</v>
      </c>
    </row>
    <row r="6" spans="1:13" x14ac:dyDescent="0.3">
      <c r="A6" s="2" t="s">
        <v>57</v>
      </c>
      <c r="B6" s="7">
        <f t="shared" ref="B6:M6" si="4">B2 * Var_Tech_Cost</f>
        <v>1452.0000000000002</v>
      </c>
      <c r="C6" s="7">
        <f t="shared" si="4"/>
        <v>1669.8</v>
      </c>
      <c r="D6" s="7">
        <f t="shared" si="4"/>
        <v>1920.2699999999998</v>
      </c>
      <c r="E6" s="7">
        <f t="shared" si="4"/>
        <v>2208.3104999999996</v>
      </c>
      <c r="F6" s="7">
        <f t="shared" si="4"/>
        <v>2539.5570749999993</v>
      </c>
      <c r="G6" s="7">
        <f t="shared" si="4"/>
        <v>2920.4906362499992</v>
      </c>
      <c r="H6" s="7">
        <f t="shared" si="4"/>
        <v>3358.5642316874987</v>
      </c>
      <c r="I6" s="7">
        <f t="shared" si="4"/>
        <v>3862.3488664406232</v>
      </c>
      <c r="J6" s="7">
        <f t="shared" si="4"/>
        <v>4441.701196406716</v>
      </c>
      <c r="K6" s="7">
        <f t="shared" si="4"/>
        <v>5107.9563758677232</v>
      </c>
      <c r="L6" s="7">
        <f t="shared" si="4"/>
        <v>5874.1498322478819</v>
      </c>
      <c r="M6" s="7">
        <f t="shared" si="4"/>
        <v>6755.2723070850643</v>
      </c>
    </row>
    <row r="7" spans="1:13" x14ac:dyDescent="0.3">
      <c r="A7" s="8" t="s">
        <v>58</v>
      </c>
      <c r="B7" s="8">
        <f t="shared" ref="B7:M7" si="5">B4 - B5 - B6</f>
        <v>27786</v>
      </c>
      <c r="C7" s="8">
        <f t="shared" si="5"/>
        <v>32392.799999999992</v>
      </c>
      <c r="D7" s="8">
        <f t="shared" si="5"/>
        <v>37251.719999999994</v>
      </c>
      <c r="E7" s="8">
        <f t="shared" si="5"/>
        <v>42839.477999999988</v>
      </c>
      <c r="F7" s="8">
        <f t="shared" si="5"/>
        <v>49265.399699999987</v>
      </c>
      <c r="G7" s="8">
        <f t="shared" si="5"/>
        <v>56655.209654999984</v>
      </c>
      <c r="H7" s="8">
        <f t="shared" si="5"/>
        <v>65153.49110324998</v>
      </c>
      <c r="I7" s="8">
        <f t="shared" si="5"/>
        <v>74926.51476873747</v>
      </c>
      <c r="J7" s="8">
        <f t="shared" si="5"/>
        <v>86165.491984048058</v>
      </c>
      <c r="K7" s="8">
        <f t="shared" si="5"/>
        <v>99090.315781655285</v>
      </c>
      <c r="L7" s="8">
        <f t="shared" si="5"/>
        <v>113953.86314890356</v>
      </c>
      <c r="M7" s="8">
        <f t="shared" si="5"/>
        <v>131046.94262123913</v>
      </c>
    </row>
    <row r="8" spans="1:13" x14ac:dyDescent="0.3">
      <c r="A8" s="2" t="s">
        <v>59</v>
      </c>
      <c r="B8" s="7">
        <f t="shared" ref="B8:M8" si="6">B3 * CAC</f>
        <v>11880</v>
      </c>
      <c r="C8" s="7">
        <f t="shared" si="6"/>
        <v>2375.9999999999982</v>
      </c>
      <c r="D8" s="7">
        <f t="shared" si="6"/>
        <v>2732.3999999999983</v>
      </c>
      <c r="E8" s="7">
        <f t="shared" si="6"/>
        <v>3142.2599999999979</v>
      </c>
      <c r="F8" s="7">
        <f t="shared" si="6"/>
        <v>3613.5989999999988</v>
      </c>
      <c r="G8" s="7">
        <f t="shared" si="6"/>
        <v>4155.6388499999975</v>
      </c>
      <c r="H8" s="7">
        <f t="shared" si="6"/>
        <v>4778.9846774999969</v>
      </c>
      <c r="I8" s="7">
        <f t="shared" si="6"/>
        <v>5495.832379124995</v>
      </c>
      <c r="J8" s="7">
        <f t="shared" si="6"/>
        <v>6320.2072359937429</v>
      </c>
      <c r="K8" s="7">
        <f t="shared" si="6"/>
        <v>7268.2383213928069</v>
      </c>
      <c r="L8" s="7">
        <f t="shared" si="6"/>
        <v>8358.4740696017288</v>
      </c>
      <c r="M8" s="7">
        <f t="shared" si="6"/>
        <v>9612.2451800419894</v>
      </c>
    </row>
    <row r="9" spans="1:13" x14ac:dyDescent="0.3">
      <c r="A9" s="2" t="s">
        <v>60</v>
      </c>
      <c r="B9" s="7">
        <f t="shared" ref="B9:M9" si="7">Fixed_SaaS + Fixed_Salary + Fixed_Misc</f>
        <v>12700</v>
      </c>
      <c r="C9" s="7">
        <f t="shared" si="7"/>
        <v>12700</v>
      </c>
      <c r="D9" s="7">
        <f t="shared" si="7"/>
        <v>12700</v>
      </c>
      <c r="E9" s="7">
        <f t="shared" si="7"/>
        <v>12700</v>
      </c>
      <c r="F9" s="7">
        <f t="shared" si="7"/>
        <v>12700</v>
      </c>
      <c r="G9" s="7">
        <f t="shared" si="7"/>
        <v>12700</v>
      </c>
      <c r="H9" s="7">
        <f t="shared" si="7"/>
        <v>12700</v>
      </c>
      <c r="I9" s="7">
        <f t="shared" si="7"/>
        <v>12700</v>
      </c>
      <c r="J9" s="7">
        <f t="shared" si="7"/>
        <v>12700</v>
      </c>
      <c r="K9" s="7">
        <f t="shared" si="7"/>
        <v>12700</v>
      </c>
      <c r="L9" s="7">
        <f t="shared" si="7"/>
        <v>12700</v>
      </c>
      <c r="M9" s="7">
        <f t="shared" si="7"/>
        <v>12700</v>
      </c>
    </row>
    <row r="10" spans="1:13" x14ac:dyDescent="0.3">
      <c r="A10" s="8" t="s">
        <v>61</v>
      </c>
      <c r="B10" s="8">
        <f t="shared" ref="B10:M10" si="8">B7 - B8 - B9</f>
        <v>3206</v>
      </c>
      <c r="C10" s="8">
        <f t="shared" si="8"/>
        <v>17316.799999999996</v>
      </c>
      <c r="D10" s="8">
        <f t="shared" si="8"/>
        <v>21819.319999999992</v>
      </c>
      <c r="E10" s="8">
        <f t="shared" si="8"/>
        <v>26997.217999999993</v>
      </c>
      <c r="F10" s="8">
        <f t="shared" si="8"/>
        <v>32951.800699999985</v>
      </c>
      <c r="G10" s="8">
        <f t="shared" si="8"/>
        <v>39799.570804999988</v>
      </c>
      <c r="H10" s="8">
        <f t="shared" si="8"/>
        <v>47674.506425749983</v>
      </c>
      <c r="I10" s="8">
        <f t="shared" si="8"/>
        <v>56730.68238961247</v>
      </c>
      <c r="J10" s="8">
        <f t="shared" si="8"/>
        <v>67145.284748054313</v>
      </c>
      <c r="K10" s="8">
        <f t="shared" si="8"/>
        <v>79122.077460262473</v>
      </c>
      <c r="L10" s="8">
        <f t="shared" si="8"/>
        <v>92895.389079301836</v>
      </c>
      <c r="M10" s="8">
        <f t="shared" si="8"/>
        <v>108734.69744119713</v>
      </c>
    </row>
    <row r="11" spans="1:13" x14ac:dyDescent="0.3">
      <c r="A11" s="2" t="s">
        <v>62</v>
      </c>
      <c r="B11" s="9">
        <f t="shared" ref="B11:M11" si="9">IF(B4=0, 0, B10/B4)</f>
        <v>0.10794612794612794</v>
      </c>
      <c r="C11" s="9">
        <f t="shared" si="9"/>
        <v>0.5070062948323818</v>
      </c>
      <c r="D11" s="9">
        <f t="shared" si="9"/>
        <v>0.55550641894687258</v>
      </c>
      <c r="E11" s="9">
        <f t="shared" si="9"/>
        <v>0.59768043991599507</v>
      </c>
      <c r="F11" s="9">
        <f t="shared" si="9"/>
        <v>0.63435350162827542</v>
      </c>
      <c r="G11" s="9">
        <f t="shared" si="9"/>
        <v>0.66624312050851942</v>
      </c>
      <c r="H11" s="9">
        <f t="shared" si="9"/>
        <v>0.69397322388264437</v>
      </c>
      <c r="I11" s="9">
        <f t="shared" si="9"/>
        <v>0.71808635725144887</v>
      </c>
      <c r="J11" s="9">
        <f t="shared" si="9"/>
        <v>0.73905429931127864</v>
      </c>
      <c r="K11" s="9">
        <f t="shared" si="9"/>
        <v>0.75728729240678294</v>
      </c>
      <c r="L11" s="9">
        <f t="shared" si="9"/>
        <v>0.77314206901156934</v>
      </c>
      <c r="M11" s="9">
        <f t="shared" si="9"/>
        <v>0.78692883127660096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rightToLeft="1" workbookViewId="0"/>
  </sheetViews>
  <sheetFormatPr defaultColWidth="8.83203125" defaultRowHeight="1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11</vt:i4>
      </vt:variant>
    </vt:vector>
  </HeadingPairs>
  <TitlesOfParts>
    <vt:vector size="15" baseType="lpstr">
      <vt:lpstr>הנחות יסוד (Dashboard)</vt:lpstr>
      <vt:lpstr>כלכלת יחידה (Unit Economics)</vt:lpstr>
      <vt:lpstr>רווח והפסד 12 חודשים</vt:lpstr>
      <vt:lpstr>דשבורד גרפים</vt:lpstr>
      <vt:lpstr>AOV</vt:lpstr>
      <vt:lpstr>CAC</vt:lpstr>
      <vt:lpstr>Churn_Rate</vt:lpstr>
      <vt:lpstr>Courier_Cut</vt:lpstr>
      <vt:lpstr>Fixed_Misc</vt:lpstr>
      <vt:lpstr>Fixed_SaaS</vt:lpstr>
      <vt:lpstr>Fixed_Salary</vt:lpstr>
      <vt:lpstr>Growth_Rate</vt:lpstr>
      <vt:lpstr>Start_Orders</vt:lpstr>
      <vt:lpstr>Var_Tech_Cost</vt:lpstr>
      <vt:lpstr>Work_Days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</dc:creator>
  <cp:lastModifiedBy>Israel</cp:lastModifiedBy>
  <dcterms:created xsi:type="dcterms:W3CDTF">2026-02-22T15:12:52Z</dcterms:created>
  <dcterms:modified xsi:type="dcterms:W3CDTF">2026-03-17T22:59:57Z</dcterms:modified>
</cp:coreProperties>
</file>