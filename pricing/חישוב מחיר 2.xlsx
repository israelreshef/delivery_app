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rael\Desktop\"/>
    </mc:Choice>
  </mc:AlternateContent>
  <xr:revisionPtr revIDLastSave="0" documentId="8_{10D8E81C-5C11-4548-9D65-ECA81EB355C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הנחות יסוד (Dashboard)" sheetId="1" r:id="rId1"/>
    <sheet name="כלכלת יחידה (Unit Economics)" sheetId="2" r:id="rId2"/>
    <sheet name="רווח והפסד 12 חודשים" sheetId="3" r:id="rId3"/>
    <sheet name="דשבורד גרפים" sheetId="4" r:id="rId4"/>
  </sheets>
  <definedNames>
    <definedName name="AOV">'הנחות יסוד (Dashboard)'!$B$8</definedName>
    <definedName name="CAC">'הנחות יסוד (Dashboard)'!$B$12</definedName>
    <definedName name="Churn_Rate">'הנחות יסוד (Dashboard)'!$B$6</definedName>
    <definedName name="Courier_Cut">'הנחות יסוד (Dashboard)'!$B$9</definedName>
    <definedName name="Fixed_Misc">'הנחות יסוד (Dashboard)'!$B$15</definedName>
    <definedName name="Fixed_SaaS">'הנחות יסוד (Dashboard)'!$B$13</definedName>
    <definedName name="Fixed_Salary">'הנחות יסוד (Dashboard)'!$B$14</definedName>
    <definedName name="Growth_Rate">'הנחות יסוד (Dashboard)'!$B$5</definedName>
    <definedName name="Start_Orders">'הנחות יסוד (Dashboard)'!$B$3</definedName>
    <definedName name="Var_Tech_Cost">'הנחות יסוד (Dashboard)'!$B$10</definedName>
    <definedName name="Work_Days">'הנחות יסוד (Dashboard)'!$B$4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3" l="1"/>
  <c r="L9" i="3"/>
  <c r="K9" i="3"/>
  <c r="J9" i="3"/>
  <c r="I9" i="3"/>
  <c r="H9" i="3"/>
  <c r="G9" i="3"/>
  <c r="F9" i="3"/>
  <c r="E9" i="3"/>
  <c r="D9" i="3"/>
  <c r="C9" i="3"/>
  <c r="B9" i="3"/>
  <c r="B2" i="3"/>
  <c r="C2" i="3" s="1"/>
  <c r="B5" i="2"/>
  <c r="B6" i="2" s="1"/>
  <c r="B4" i="2"/>
  <c r="B3" i="2"/>
  <c r="B2" i="2"/>
  <c r="D2" i="3" l="1"/>
  <c r="C6" i="3"/>
  <c r="C4" i="3"/>
  <c r="C3" i="3"/>
  <c r="B3" i="3"/>
  <c r="B4" i="3"/>
  <c r="B6" i="3"/>
  <c r="B8" i="3" l="1"/>
  <c r="B5" i="3"/>
  <c r="B7" i="3" s="1"/>
  <c r="B10" i="3" s="1"/>
  <c r="B11" i="3" s="1"/>
  <c r="C8" i="3"/>
  <c r="C5" i="3"/>
  <c r="C7" i="3"/>
  <c r="C10" i="3" s="1"/>
  <c r="C11" i="3" s="1"/>
  <c r="E2" i="3"/>
  <c r="D6" i="3"/>
  <c r="D4" i="3"/>
  <c r="D3" i="3"/>
  <c r="F2" i="3" l="1"/>
  <c r="E6" i="3"/>
  <c r="E4" i="3"/>
  <c r="E3" i="3"/>
  <c r="D8" i="3"/>
  <c r="D5" i="3"/>
  <c r="D7" i="3" s="1"/>
  <c r="D10" i="3" s="1"/>
  <c r="D11" i="3" s="1"/>
  <c r="E8" i="3" l="1"/>
  <c r="E5" i="3"/>
  <c r="E7" i="3" s="1"/>
  <c r="E10" i="3" s="1"/>
  <c r="E11" i="3" s="1"/>
  <c r="G2" i="3"/>
  <c r="F6" i="3"/>
  <c r="F4" i="3"/>
  <c r="F3" i="3"/>
  <c r="F8" i="3" l="1"/>
  <c r="F5" i="3"/>
  <c r="F7" i="3" s="1"/>
  <c r="F10" i="3" s="1"/>
  <c r="F11" i="3" s="1"/>
  <c r="H2" i="3"/>
  <c r="G6" i="3"/>
  <c r="G4" i="3"/>
  <c r="G3" i="3"/>
  <c r="G8" i="3" l="1"/>
  <c r="G5" i="3"/>
  <c r="G7" i="3"/>
  <c r="G10" i="3" s="1"/>
  <c r="G11" i="3" s="1"/>
  <c r="I2" i="3"/>
  <c r="H6" i="3"/>
  <c r="H4" i="3"/>
  <c r="H3" i="3"/>
  <c r="H8" i="3" l="1"/>
  <c r="H5" i="3"/>
  <c r="H7" i="3"/>
  <c r="H10" i="3" s="1"/>
  <c r="H11" i="3" s="1"/>
  <c r="J2" i="3"/>
  <c r="I6" i="3"/>
  <c r="I4" i="3"/>
  <c r="I3" i="3"/>
  <c r="I8" i="3" l="1"/>
  <c r="I5" i="3"/>
  <c r="I7" i="3" s="1"/>
  <c r="I10" i="3" s="1"/>
  <c r="I11" i="3" s="1"/>
  <c r="K2" i="3"/>
  <c r="J6" i="3"/>
  <c r="J4" i="3"/>
  <c r="J3" i="3"/>
  <c r="J8" i="3" l="1"/>
  <c r="J5" i="3"/>
  <c r="J7" i="3"/>
  <c r="J10" i="3" s="1"/>
  <c r="J11" i="3" s="1"/>
  <c r="K6" i="3"/>
  <c r="K4" i="3"/>
  <c r="K3" i="3"/>
  <c r="L2" i="3"/>
  <c r="L3" i="3" l="1"/>
  <c r="M2" i="3"/>
  <c r="L6" i="3"/>
  <c r="L4" i="3"/>
  <c r="K8" i="3"/>
  <c r="K5" i="3"/>
  <c r="K7" i="3"/>
  <c r="K10" i="3" s="1"/>
  <c r="K11" i="3" s="1"/>
  <c r="M6" i="3" l="1"/>
  <c r="M4" i="3"/>
  <c r="M3" i="3"/>
  <c r="L8" i="3"/>
  <c r="L5" i="3"/>
  <c r="L7" i="3" s="1"/>
  <c r="L10" i="3" s="1"/>
  <c r="L11" i="3" s="1"/>
  <c r="M8" i="3" l="1"/>
  <c r="M5" i="3"/>
  <c r="M7" i="3"/>
  <c r="M10" i="3" s="1"/>
  <c r="M11" i="3" s="1"/>
</calcChain>
</file>

<file path=xl/sharedStrings.xml><?xml version="1.0" encoding="utf-8"?>
<sst xmlns="http://schemas.openxmlformats.org/spreadsheetml/2006/main" count="70" uniqueCount="63">
  <si>
    <t>פרמטר</t>
  </si>
  <si>
    <t>ערך (לשינוי)</t>
  </si>
  <si>
    <t>יחידה</t>
  </si>
  <si>
    <t>הסבר למודל</t>
  </si>
  <si>
    <t>--- מדדי צמיחה ופעילות ---</t>
  </si>
  <si>
    <t>הזמנות ביום (חודש 1)</t>
  </si>
  <si>
    <t>מספר</t>
  </si>
  <si>
    <t>נפח התחלתי יומי</t>
  </si>
  <si>
    <t>ימי פעילות בחודש</t>
  </si>
  <si>
    <t>ימים</t>
  </si>
  <si>
    <t>ממוצע ימי עבודה (ללא שבתות)</t>
  </si>
  <si>
    <t>צמיחה חודשית בכמות הזמנות</t>
  </si>
  <si>
    <t>%</t>
  </si>
  <si>
    <t>קצב גידול חודשי (MOM Growth)</t>
  </si>
  <si>
    <t>אחוז נטישת לקוחות (Churn)</t>
  </si>
  <si>
    <t>אחוז לקוחות שלא חוזרים בחודש הבא</t>
  </si>
  <si>
    <t>--- הכנסות והוצאות משתנות ---</t>
  </si>
  <si>
    <t>מחיר ממוצע למשלוח (ללא מע"מ)</t>
  </si>
  <si>
    <t>₪</t>
  </si>
  <si>
    <t>AOV - שווי הזמנה ממוצע</t>
  </si>
  <si>
    <t>עמלת תשלום לשליח פרילנסר</t>
  </si>
  <si>
    <t>אחוז ממחיר המשלוח שעובר לשליח</t>
  </si>
  <si>
    <t>עלות סליקה וטכנולוגיה (API)</t>
  </si>
  <si>
    <t>עלויות פר-משלוח: סליקה, SMS, מפות</t>
  </si>
  <si>
    <t>--- הוצאות קבועות ושיווק ---</t>
  </si>
  <si>
    <t>עלות רכישת לקוח (CAC)</t>
  </si>
  <si>
    <t>עלות שיווק דיגיטלי להבאת משלוח חדש</t>
  </si>
  <si>
    <t>תוכנה ושרתים (חודשי)</t>
  </si>
  <si>
    <t>מערכת שילוח מבוססת SaaS ואחסון</t>
  </si>
  <si>
    <t>שכר מטה ומוקד (חודשי)</t>
  </si>
  <si>
    <t>מנהל תפעול / שירות לקוחות</t>
  </si>
  <si>
    <t>הנהח"ש, ביטוח ושונות</t>
  </si>
  <si>
    <t>הוצאות משרד ורגולציה</t>
  </si>
  <si>
    <t>ניתוח רווחיות למשלוח בודד</t>
  </si>
  <si>
    <t>סכום</t>
  </si>
  <si>
    <t>מחיר משלוח ממוצע ללקוח</t>
  </si>
  <si>
    <t>פחות: תשלום לשליח פרילנסר</t>
  </si>
  <si>
    <t>פחות: סליקה וטכנולוגיה</t>
  </si>
  <si>
    <t>רווח גולמי למשלוח (Contribution Margin)</t>
  </si>
  <si>
    <t>מרווח רווחיות (%)</t>
  </si>
  <si>
    <t>סעיף פיננסי</t>
  </si>
  <si>
    <t>חודש 1</t>
  </si>
  <si>
    <t>חודש 2</t>
  </si>
  <si>
    <t>חודש 3</t>
  </si>
  <si>
    <t>חודש 4</t>
  </si>
  <si>
    <t>חודש 5</t>
  </si>
  <si>
    <t>חודש 6</t>
  </si>
  <si>
    <t>חודש 7</t>
  </si>
  <si>
    <t>חודש 8</t>
  </si>
  <si>
    <t>חודש 9</t>
  </si>
  <si>
    <t>חודש 10</t>
  </si>
  <si>
    <t>חודש 11</t>
  </si>
  <si>
    <t>חודש 12</t>
  </si>
  <si>
    <t>סה"כ משלוחים בחודש</t>
  </si>
  <si>
    <t>משלוחים חדשים (לחישוב שיווק)</t>
  </si>
  <si>
    <t>הכנסות ברוטו (Revenue)</t>
  </si>
  <si>
    <t>תשלום לשליחים (COGS)</t>
  </si>
  <si>
    <t>סליקה, SMS ומפות (COGS)</t>
  </si>
  <si>
    <t>רווח גולמי (Gross Profit)</t>
  </si>
  <si>
    <t>הוצאות שיווק ופרסום (CAC)</t>
  </si>
  <si>
    <t>הוצאות תפעול ומטה (OPEX)</t>
  </si>
  <si>
    <t>רווח תפעולי (EBITDA)</t>
  </si>
  <si>
    <t>אחוז רווח תפעולי (Margin)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</si>
</sst>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₪#,##0.00"/>
    <numFmt numFmtId="166" formatCode="\₪#,##0"/>
  </numFmts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C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4" fontId="0" fillId="4" borderId="1" xfId="0" applyNumberFormat="1" applyFill="1" applyBorder="1"/>
    <xf numFmtId="164" fontId="0" fillId="4" borderId="1" xfId="0" applyNumberFormat="1" applyFill="1" applyBorder="1"/>
    <xf numFmtId="165" fontId="0" fillId="0" borderId="1" xfId="0" applyNumberFormat="1" applyBorder="1"/>
    <xf numFmtId="3" fontId="0" fillId="0" borderId="1" xfId="0" applyNumberFormat="1" applyBorder="1"/>
    <xf numFmtId="166" fontId="3" fillId="0" borderId="1" xfId="0" applyNumberFormat="1" applyFont="1" applyBorder="1"/>
    <xf numFmtId="166" fontId="2" fillId="5" borderId="1" xfId="0" applyNumberFormat="1" applyFont="1" applyFill="1" applyBorder="1"/>
    <xf numFmtId="164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תחזית הכנסות מול רווח תפעולי (₪)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הכנסות ברוטו</c:v>
          </c:tx>
          <c:spPr>
            <a:solidFill>
              <a:srgbClr val="4472C4"/>
            </a:solidFill>
          </c:spPr>
          <c:invertIfNegative val="0"/>
          <c:cat>
            <c:strRef>
              <c:f>'רווח והפסד 12 חודשים'!$B$1:$M$1</c:f>
              <c:strCache>
                <c:ptCount val="12"/>
                <c:pt idx="0">
                  <c:v>חודש 1</c:v>
                </c:pt>
                <c:pt idx="1">
                  <c:v>חודש 2</c:v>
                </c:pt>
                <c:pt idx="2">
                  <c:v>חודש 3</c:v>
                </c:pt>
                <c:pt idx="3">
                  <c:v>חודש 4</c:v>
                </c:pt>
                <c:pt idx="4">
                  <c:v>חודש 5</c:v>
                </c:pt>
                <c:pt idx="5">
                  <c:v>חודש 6</c:v>
                </c:pt>
                <c:pt idx="6">
                  <c:v>חודש 7</c:v>
                </c:pt>
                <c:pt idx="7">
                  <c:v>חודש 8</c:v>
                </c:pt>
                <c:pt idx="8">
                  <c:v>חודש 9</c:v>
                </c:pt>
                <c:pt idx="9">
                  <c:v>חודש 10</c:v>
                </c:pt>
                <c:pt idx="10">
                  <c:v>חודש 11</c:v>
                </c:pt>
                <c:pt idx="11">
                  <c:v>חודש 12</c:v>
                </c:pt>
              </c:strCache>
            </c:strRef>
          </c:cat>
          <c:val>
            <c:numRef>
              <c:f>'רווח והפסד 12 חודשים'!$B$4:$M$4</c:f>
              <c:numCache>
                <c:formatCode>\₪#,##0</c:formatCode>
                <c:ptCount val="12"/>
                <c:pt idx="0">
                  <c:v>35100</c:v>
                </c:pt>
                <c:pt idx="1">
                  <c:v>40364.999999999993</c:v>
                </c:pt>
                <c:pt idx="2">
                  <c:v>46419.749999999985</c:v>
                </c:pt>
                <c:pt idx="3">
                  <c:v>53382.71249999998</c:v>
                </c:pt>
                <c:pt idx="4">
                  <c:v>61390.119374999973</c:v>
                </c:pt>
                <c:pt idx="5">
                  <c:v>70598.637281249961</c:v>
                </c:pt>
                <c:pt idx="6">
                  <c:v>81188.432873437443</c:v>
                </c:pt>
                <c:pt idx="7">
                  <c:v>93366.697804453055</c:v>
                </c:pt>
                <c:pt idx="8">
                  <c:v>107371.70247512101</c:v>
                </c:pt>
                <c:pt idx="9">
                  <c:v>123477.45784638917</c:v>
                </c:pt>
                <c:pt idx="10">
                  <c:v>141999.07652334752</c:v>
                </c:pt>
                <c:pt idx="11">
                  <c:v>163298.93800184963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4-4620-859B-BF43D2521460}"/>
            </c:ext>
          </c:extLst>
        </c:ser>
        <c:ser>
          <c:idx val="1"/>
          <c:order val="1"/>
          <c:tx>
            <c:v>רווח תפעולי (EBITDA)</c:v>
          </c:tx>
          <c:spPr>
            <a:ln w="31750">
              <a:solidFill>
                <a:srgbClr val="C00000"/>
              </a:solidFill>
            </a:ln>
          </c:spPr>
          <c:invertIfNegative val="0"/>
          <c:cat>
            <c:strRef>
              <c:f>'רווח והפסד 12 חודשים'!$B$1:$M$1</c:f>
              <c:strCache>
                <c:ptCount val="12"/>
                <c:pt idx="0">
                  <c:v>חודש 1</c:v>
                </c:pt>
                <c:pt idx="1">
                  <c:v>חודש 2</c:v>
                </c:pt>
                <c:pt idx="2">
                  <c:v>חודש 3</c:v>
                </c:pt>
                <c:pt idx="3">
                  <c:v>חודש 4</c:v>
                </c:pt>
                <c:pt idx="4">
                  <c:v>חודש 5</c:v>
                </c:pt>
                <c:pt idx="5">
                  <c:v>חודש 6</c:v>
                </c:pt>
                <c:pt idx="6">
                  <c:v>חודש 7</c:v>
                </c:pt>
                <c:pt idx="7">
                  <c:v>חודש 8</c:v>
                </c:pt>
                <c:pt idx="8">
                  <c:v>חודש 9</c:v>
                </c:pt>
                <c:pt idx="9">
                  <c:v>חודש 10</c:v>
                </c:pt>
                <c:pt idx="10">
                  <c:v>חודש 11</c:v>
                </c:pt>
                <c:pt idx="11">
                  <c:v>חודש 12</c:v>
                </c:pt>
              </c:strCache>
            </c:strRef>
          </c:cat>
          <c:val>
            <c:numRef>
              <c:f>'רווח והפסד 12 חודשים'!$B$10:$M$10</c:f>
              <c:numCache>
                <c:formatCode>\₪#,##0</c:formatCode>
                <c:ptCount val="12"/>
                <c:pt idx="0">
                  <c:v>6098</c:v>
                </c:pt>
                <c:pt idx="1">
                  <c:v>22774.399999999994</c:v>
                </c:pt>
                <c:pt idx="2">
                  <c:v>28095.55999999999</c:v>
                </c:pt>
                <c:pt idx="3">
                  <c:v>34214.893999999986</c:v>
                </c:pt>
                <c:pt idx="4">
                  <c:v>41252.128099999973</c:v>
                </c:pt>
                <c:pt idx="5">
                  <c:v>49344.947314999969</c:v>
                </c:pt>
                <c:pt idx="6">
                  <c:v>58651.689412249951</c:v>
                </c:pt>
                <c:pt idx="7">
                  <c:v>69354.442824087455</c:v>
                </c:pt>
                <c:pt idx="8">
                  <c:v>81662.609247700559</c:v>
                </c:pt>
                <c:pt idx="9">
                  <c:v>95817.000634855649</c:v>
                </c:pt>
                <c:pt idx="10">
                  <c:v>112094.55073008398</c:v>
                </c:pt>
                <c:pt idx="11">
                  <c:v>130813.73333959654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24-4620-859B-BF43D2521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חודשי פעילות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\₪#,##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תחזית צמיחת נפח משלוחים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סה"כ משלוחים בחודש</c:v>
          </c:tx>
          <c:spPr>
            <a:solidFill>
              <a:srgbClr val="70AD47">
                <a:alpha val="60000"/>
              </a:srgbClr>
            </a:solidFill>
            <a:ln>
              <a:solidFill>
                <a:srgbClr val="548235"/>
              </a:solidFill>
            </a:ln>
          </c:spPr>
          <c:cat>
            <c:strRef>
              <c:f>'רווח והפסד 12 חודשים'!$B$1:$M$1</c:f>
              <c:strCache>
                <c:ptCount val="12"/>
                <c:pt idx="0">
                  <c:v>חודש 1</c:v>
                </c:pt>
                <c:pt idx="1">
                  <c:v>חודש 2</c:v>
                </c:pt>
                <c:pt idx="2">
                  <c:v>חודש 3</c:v>
                </c:pt>
                <c:pt idx="3">
                  <c:v>חודש 4</c:v>
                </c:pt>
                <c:pt idx="4">
                  <c:v>חודש 5</c:v>
                </c:pt>
                <c:pt idx="5">
                  <c:v>חודש 6</c:v>
                </c:pt>
                <c:pt idx="6">
                  <c:v>חודש 7</c:v>
                </c:pt>
                <c:pt idx="7">
                  <c:v>חודש 8</c:v>
                </c:pt>
                <c:pt idx="8">
                  <c:v>חודש 9</c:v>
                </c:pt>
                <c:pt idx="9">
                  <c:v>חודש 10</c:v>
                </c:pt>
                <c:pt idx="10">
                  <c:v>חודש 11</c:v>
                </c:pt>
                <c:pt idx="11">
                  <c:v>חודש 12</c:v>
                </c:pt>
              </c:strCache>
            </c:strRef>
          </c:cat>
          <c:val>
            <c:numRef>
              <c:f>'רווח והפסד 12 חודשים'!$B$2:$M$2</c:f>
              <c:numCache>
                <c:formatCode>#,##0</c:formatCode>
                <c:ptCount val="12"/>
                <c:pt idx="0">
                  <c:v>780</c:v>
                </c:pt>
                <c:pt idx="1">
                  <c:v>896.99999999999989</c:v>
                </c:pt>
                <c:pt idx="2">
                  <c:v>1031.5499999999997</c:v>
                </c:pt>
                <c:pt idx="3">
                  <c:v>1186.2824999999996</c:v>
                </c:pt>
                <c:pt idx="4">
                  <c:v>1364.2248749999994</c:v>
                </c:pt>
                <c:pt idx="5">
                  <c:v>1568.8586062499992</c:v>
                </c:pt>
                <c:pt idx="6">
                  <c:v>1804.1873971874988</c:v>
                </c:pt>
                <c:pt idx="7">
                  <c:v>2074.8155067656235</c:v>
                </c:pt>
                <c:pt idx="8">
                  <c:v>2386.0378327804669</c:v>
                </c:pt>
                <c:pt idx="9">
                  <c:v>2743.9435076975369</c:v>
                </c:pt>
                <c:pt idx="10">
                  <c:v>3155.5350338521671</c:v>
                </c:pt>
                <c:pt idx="11">
                  <c:v>3628.8652889299919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C-43FC-B34C-54424FB07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area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חודשי פעילות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228600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10</xdr:col>
      <xdr:colOff>228600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rightToLeft="1" tabSelected="1" workbookViewId="0"/>
  </sheetViews>
  <sheetFormatPr defaultRowHeight="14" x14ac:dyDescent="0.3"/>
  <cols>
    <col min="1" max="1" width="30.75" customWidth="1"/>
    <col min="2" max="2" width="15.75" customWidth="1"/>
    <col min="3" max="3" width="10.75" customWidth="1"/>
    <col min="4" max="4" width="45.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</row>
    <row r="3" spans="1:4" x14ac:dyDescent="0.3">
      <c r="A3" s="3" t="s">
        <v>5</v>
      </c>
      <c r="B3" s="3">
        <v>30</v>
      </c>
      <c r="C3" t="s">
        <v>6</v>
      </c>
      <c r="D3" t="s">
        <v>7</v>
      </c>
    </row>
    <row r="4" spans="1:4" x14ac:dyDescent="0.3">
      <c r="A4" s="3" t="s">
        <v>8</v>
      </c>
      <c r="B4" s="3">
        <v>26</v>
      </c>
      <c r="C4" t="s">
        <v>9</v>
      </c>
      <c r="D4" t="s">
        <v>10</v>
      </c>
    </row>
    <row r="5" spans="1:4" x14ac:dyDescent="0.3">
      <c r="A5" s="4" t="s">
        <v>11</v>
      </c>
      <c r="B5" s="4">
        <v>0.15</v>
      </c>
      <c r="C5" t="s">
        <v>12</v>
      </c>
      <c r="D5" t="s">
        <v>13</v>
      </c>
    </row>
    <row r="6" spans="1:4" x14ac:dyDescent="0.3">
      <c r="A6" s="4" t="s">
        <v>14</v>
      </c>
      <c r="B6" s="4">
        <v>0.05</v>
      </c>
      <c r="C6" t="s">
        <v>12</v>
      </c>
      <c r="D6" t="s">
        <v>15</v>
      </c>
    </row>
    <row r="7" spans="1:4" x14ac:dyDescent="0.3">
      <c r="A7" s="2" t="s">
        <v>16</v>
      </c>
    </row>
    <row r="8" spans="1:4" x14ac:dyDescent="0.3">
      <c r="A8" s="3" t="s">
        <v>17</v>
      </c>
      <c r="B8" s="3">
        <v>45</v>
      </c>
      <c r="C8" t="s">
        <v>18</v>
      </c>
      <c r="D8" t="s">
        <v>19</v>
      </c>
    </row>
    <row r="9" spans="1:4" x14ac:dyDescent="0.3">
      <c r="A9" s="4" t="s">
        <v>20</v>
      </c>
      <c r="B9" s="4">
        <v>0.7</v>
      </c>
      <c r="C9" t="s">
        <v>12</v>
      </c>
      <c r="D9" t="s">
        <v>21</v>
      </c>
    </row>
    <row r="10" spans="1:4" x14ac:dyDescent="0.3">
      <c r="A10" s="3" t="s">
        <v>22</v>
      </c>
      <c r="B10" s="3">
        <v>2.2000000000000002</v>
      </c>
      <c r="C10" t="s">
        <v>18</v>
      </c>
      <c r="D10" t="s">
        <v>23</v>
      </c>
    </row>
    <row r="11" spans="1:4" x14ac:dyDescent="0.3">
      <c r="A11" s="2" t="s">
        <v>24</v>
      </c>
    </row>
    <row r="12" spans="1:4" x14ac:dyDescent="0.3">
      <c r="A12" s="3" t="s">
        <v>25</v>
      </c>
      <c r="B12" s="3">
        <v>18</v>
      </c>
      <c r="C12" t="s">
        <v>18</v>
      </c>
      <c r="D12" t="s">
        <v>26</v>
      </c>
    </row>
    <row r="13" spans="1:4" x14ac:dyDescent="0.3">
      <c r="A13" s="3" t="s">
        <v>27</v>
      </c>
      <c r="B13" s="3">
        <v>1200</v>
      </c>
      <c r="C13" t="s">
        <v>18</v>
      </c>
      <c r="D13" t="s">
        <v>28</v>
      </c>
    </row>
    <row r="14" spans="1:4" x14ac:dyDescent="0.3">
      <c r="A14" s="3" t="s">
        <v>29</v>
      </c>
      <c r="B14" s="3">
        <v>9000</v>
      </c>
      <c r="C14" t="s">
        <v>18</v>
      </c>
      <c r="D14" t="s">
        <v>30</v>
      </c>
    </row>
    <row r="15" spans="1:4" x14ac:dyDescent="0.3">
      <c r="A15" s="3" t="s">
        <v>31</v>
      </c>
      <c r="B15" s="3">
        <v>2500</v>
      </c>
      <c r="C15" t="s">
        <v>18</v>
      </c>
      <c r="D1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rightToLeft="1" workbookViewId="0"/>
  </sheetViews>
  <sheetFormatPr defaultRowHeight="14" x14ac:dyDescent="0.3"/>
  <cols>
    <col min="1" max="1" width="35.75" customWidth="1"/>
    <col min="2" max="2" width="15.75" customWidth="1"/>
  </cols>
  <sheetData>
    <row r="1" spans="1:2" x14ac:dyDescent="0.3">
      <c r="A1" s="1" t="s">
        <v>33</v>
      </c>
      <c r="B1" s="1" t="s">
        <v>34</v>
      </c>
    </row>
    <row r="2" spans="1:2" x14ac:dyDescent="0.3">
      <c r="A2" s="2" t="s">
        <v>35</v>
      </c>
      <c r="B2" s="5">
        <f>AOV</f>
        <v>45</v>
      </c>
    </row>
    <row r="3" spans="1:2" x14ac:dyDescent="0.3">
      <c r="A3" s="6" t="s">
        <v>36</v>
      </c>
      <c r="B3" s="7">
        <f>AOV*Courier_Cut</f>
        <v>31.499999999999996</v>
      </c>
    </row>
    <row r="4" spans="1:2" x14ac:dyDescent="0.3">
      <c r="A4" s="6" t="s">
        <v>37</v>
      </c>
      <c r="B4" s="7">
        <f>Var_Tech_Cost</f>
        <v>2.2000000000000002</v>
      </c>
    </row>
    <row r="5" spans="1:2" x14ac:dyDescent="0.3">
      <c r="A5" s="8" t="s">
        <v>38</v>
      </c>
      <c r="B5" s="5">
        <f>B2-B3-B4</f>
        <v>11.300000000000004</v>
      </c>
    </row>
    <row r="6" spans="1:2" x14ac:dyDescent="0.3">
      <c r="A6" s="2" t="s">
        <v>39</v>
      </c>
      <c r="B6" s="9">
        <f>B5/B2</f>
        <v>0.25111111111111123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rightToLeft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" x14ac:dyDescent="0.3"/>
  <cols>
    <col min="1" max="1" width="30.75" customWidth="1"/>
    <col min="2" max="13" width="12.75" customWidth="1"/>
  </cols>
  <sheetData>
    <row r="1" spans="1:13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 x14ac:dyDescent="0.3">
      <c r="A2" s="2" t="s">
        <v>53</v>
      </c>
      <c r="B2" s="6">
        <f>Start_Orders * Work_Days</f>
        <v>780</v>
      </c>
      <c r="C2" s="6">
        <f t="shared" ref="C2:M2" si="0">B2 * (1 + Growth_Rate)</f>
        <v>896.99999999999989</v>
      </c>
      <c r="D2" s="6">
        <f t="shared" si="0"/>
        <v>1031.5499999999997</v>
      </c>
      <c r="E2" s="6">
        <f t="shared" si="0"/>
        <v>1186.2824999999996</v>
      </c>
      <c r="F2" s="6">
        <f t="shared" si="0"/>
        <v>1364.2248749999994</v>
      </c>
      <c r="G2" s="6">
        <f t="shared" si="0"/>
        <v>1568.8586062499992</v>
      </c>
      <c r="H2" s="6">
        <f t="shared" si="0"/>
        <v>1804.1873971874988</v>
      </c>
      <c r="I2" s="6">
        <f t="shared" si="0"/>
        <v>2074.8155067656235</v>
      </c>
      <c r="J2" s="6">
        <f t="shared" si="0"/>
        <v>2386.0378327804669</v>
      </c>
      <c r="K2" s="6">
        <f t="shared" si="0"/>
        <v>2743.9435076975369</v>
      </c>
      <c r="L2" s="6">
        <f t="shared" si="0"/>
        <v>3155.5350338521671</v>
      </c>
      <c r="M2" s="6">
        <f t="shared" si="0"/>
        <v>3628.8652889299919</v>
      </c>
    </row>
    <row r="3" spans="1:13" x14ac:dyDescent="0.3">
      <c r="A3" s="2" t="s">
        <v>54</v>
      </c>
      <c r="B3" s="6">
        <f>B2</f>
        <v>780</v>
      </c>
      <c r="C3" s="6">
        <f t="shared" ref="C3:M3" si="1">MAX(0, C2 - B2 + (B2 * Churn_Rate))</f>
        <v>155.99999999999989</v>
      </c>
      <c r="D3" s="6">
        <f t="shared" si="1"/>
        <v>179.39999999999984</v>
      </c>
      <c r="E3" s="6">
        <f t="shared" si="1"/>
        <v>206.30999999999983</v>
      </c>
      <c r="F3" s="6">
        <f t="shared" si="1"/>
        <v>237.25649999999985</v>
      </c>
      <c r="G3" s="6">
        <f t="shared" si="1"/>
        <v>272.84497499999975</v>
      </c>
      <c r="H3" s="6">
        <f t="shared" si="1"/>
        <v>313.77172124999964</v>
      </c>
      <c r="I3" s="6">
        <f t="shared" si="1"/>
        <v>360.83747943749955</v>
      </c>
      <c r="J3" s="6">
        <f t="shared" si="1"/>
        <v>414.96310135312467</v>
      </c>
      <c r="K3" s="6">
        <f t="shared" si="1"/>
        <v>477.2075665560933</v>
      </c>
      <c r="L3" s="6">
        <f t="shared" si="1"/>
        <v>548.78870153950697</v>
      </c>
      <c r="M3" s="6">
        <f t="shared" si="1"/>
        <v>631.10700677043326</v>
      </c>
    </row>
    <row r="4" spans="1:13" x14ac:dyDescent="0.3">
      <c r="A4" s="2" t="s">
        <v>55</v>
      </c>
      <c r="B4" s="10">
        <f t="shared" ref="B4:M4" si="2">B2 * AOV</f>
        <v>35100</v>
      </c>
      <c r="C4" s="10">
        <f t="shared" si="2"/>
        <v>40364.999999999993</v>
      </c>
      <c r="D4" s="10">
        <f t="shared" si="2"/>
        <v>46419.749999999985</v>
      </c>
      <c r="E4" s="10">
        <f t="shared" si="2"/>
        <v>53382.71249999998</v>
      </c>
      <c r="F4" s="10">
        <f t="shared" si="2"/>
        <v>61390.119374999973</v>
      </c>
      <c r="G4" s="10">
        <f t="shared" si="2"/>
        <v>70598.637281249961</v>
      </c>
      <c r="H4" s="10">
        <f t="shared" si="2"/>
        <v>81188.432873437443</v>
      </c>
      <c r="I4" s="10">
        <f t="shared" si="2"/>
        <v>93366.697804453055</v>
      </c>
      <c r="J4" s="10">
        <f t="shared" si="2"/>
        <v>107371.70247512101</v>
      </c>
      <c r="K4" s="10">
        <f t="shared" si="2"/>
        <v>123477.45784638917</v>
      </c>
      <c r="L4" s="10">
        <f t="shared" si="2"/>
        <v>141999.07652334752</v>
      </c>
      <c r="M4" s="10">
        <f t="shared" si="2"/>
        <v>163298.93800184963</v>
      </c>
    </row>
    <row r="5" spans="1:13" x14ac:dyDescent="0.3">
      <c r="A5" s="2" t="s">
        <v>56</v>
      </c>
      <c r="B5" s="7">
        <f t="shared" ref="B5:M5" si="3">B3 * Courier_Cut</f>
        <v>546</v>
      </c>
      <c r="C5" s="7">
        <f t="shared" si="3"/>
        <v>109.19999999999992</v>
      </c>
      <c r="D5" s="7">
        <f t="shared" si="3"/>
        <v>125.57999999999987</v>
      </c>
      <c r="E5" s="7">
        <f t="shared" si="3"/>
        <v>144.41699999999986</v>
      </c>
      <c r="F5" s="7">
        <f t="shared" si="3"/>
        <v>166.07954999999987</v>
      </c>
      <c r="G5" s="7">
        <f t="shared" si="3"/>
        <v>190.99148249999982</v>
      </c>
      <c r="H5" s="7">
        <f t="shared" si="3"/>
        <v>219.64020487499974</v>
      </c>
      <c r="I5" s="7">
        <f t="shared" si="3"/>
        <v>252.58623560624966</v>
      </c>
      <c r="J5" s="7">
        <f t="shared" si="3"/>
        <v>290.47417094718725</v>
      </c>
      <c r="K5" s="7">
        <f t="shared" si="3"/>
        <v>334.04529658926526</v>
      </c>
      <c r="L5" s="7">
        <f t="shared" si="3"/>
        <v>384.15209107765486</v>
      </c>
      <c r="M5" s="7">
        <f t="shared" si="3"/>
        <v>441.77490473930328</v>
      </c>
    </row>
    <row r="6" spans="1:13" x14ac:dyDescent="0.3">
      <c r="A6" s="2" t="s">
        <v>57</v>
      </c>
      <c r="B6" s="7">
        <f t="shared" ref="B6:M6" si="4">B2 * Var_Tech_Cost</f>
        <v>1716.0000000000002</v>
      </c>
      <c r="C6" s="7">
        <f t="shared" si="4"/>
        <v>1973.3999999999999</v>
      </c>
      <c r="D6" s="7">
        <f t="shared" si="4"/>
        <v>2269.4099999999994</v>
      </c>
      <c r="E6" s="7">
        <f t="shared" si="4"/>
        <v>2609.8214999999991</v>
      </c>
      <c r="F6" s="7">
        <f t="shared" si="4"/>
        <v>3001.2947249999988</v>
      </c>
      <c r="G6" s="7">
        <f t="shared" si="4"/>
        <v>3451.4889337499985</v>
      </c>
      <c r="H6" s="7">
        <f t="shared" si="4"/>
        <v>3969.2122738124976</v>
      </c>
      <c r="I6" s="7">
        <f t="shared" si="4"/>
        <v>4564.5941148843722</v>
      </c>
      <c r="J6" s="7">
        <f t="shared" si="4"/>
        <v>5249.2832321170281</v>
      </c>
      <c r="K6" s="7">
        <f t="shared" si="4"/>
        <v>6036.6757169345819</v>
      </c>
      <c r="L6" s="7">
        <f t="shared" si="4"/>
        <v>6942.1770744747682</v>
      </c>
      <c r="M6" s="7">
        <f t="shared" si="4"/>
        <v>7983.5036356459832</v>
      </c>
    </row>
    <row r="7" spans="1:13" x14ac:dyDescent="0.3">
      <c r="A7" s="8" t="s">
        <v>58</v>
      </c>
      <c r="B7" s="8">
        <f t="shared" ref="B7:M7" si="5">B4 - B5 - B6</f>
        <v>32838</v>
      </c>
      <c r="C7" s="8">
        <f t="shared" si="5"/>
        <v>38282.399999999994</v>
      </c>
      <c r="D7" s="8">
        <f t="shared" si="5"/>
        <v>44024.759999999987</v>
      </c>
      <c r="E7" s="8">
        <f t="shared" si="5"/>
        <v>50628.47399999998</v>
      </c>
      <c r="F7" s="8">
        <f t="shared" si="5"/>
        <v>58222.745099999971</v>
      </c>
      <c r="G7" s="8">
        <f t="shared" si="5"/>
        <v>66956.156864999968</v>
      </c>
      <c r="H7" s="8">
        <f t="shared" si="5"/>
        <v>76999.580394749937</v>
      </c>
      <c r="I7" s="8">
        <f t="shared" si="5"/>
        <v>88549.517453962442</v>
      </c>
      <c r="J7" s="8">
        <f t="shared" si="5"/>
        <v>101831.9450720568</v>
      </c>
      <c r="K7" s="8">
        <f t="shared" si="5"/>
        <v>117106.73683286532</v>
      </c>
      <c r="L7" s="8">
        <f t="shared" si="5"/>
        <v>134672.7473577951</v>
      </c>
      <c r="M7" s="8">
        <f t="shared" si="5"/>
        <v>154873.65946146433</v>
      </c>
    </row>
    <row r="8" spans="1:13" x14ac:dyDescent="0.3">
      <c r="A8" s="2" t="s">
        <v>59</v>
      </c>
      <c r="B8" s="7">
        <f t="shared" ref="B8:M8" si="6">B3 * CAC</f>
        <v>14040</v>
      </c>
      <c r="C8" s="7">
        <f t="shared" si="6"/>
        <v>2807.9999999999982</v>
      </c>
      <c r="D8" s="7">
        <f t="shared" si="6"/>
        <v>3229.1999999999971</v>
      </c>
      <c r="E8" s="7">
        <f t="shared" si="6"/>
        <v>3713.5799999999972</v>
      </c>
      <c r="F8" s="7">
        <f t="shared" si="6"/>
        <v>4270.6169999999975</v>
      </c>
      <c r="G8" s="7">
        <f t="shared" si="6"/>
        <v>4911.2095499999959</v>
      </c>
      <c r="H8" s="7">
        <f t="shared" si="6"/>
        <v>5647.8909824999937</v>
      </c>
      <c r="I8" s="7">
        <f t="shared" si="6"/>
        <v>6495.0746298749918</v>
      </c>
      <c r="J8" s="7">
        <f t="shared" si="6"/>
        <v>7469.3358243562443</v>
      </c>
      <c r="K8" s="7">
        <f t="shared" si="6"/>
        <v>8589.7361980096794</v>
      </c>
      <c r="L8" s="7">
        <f t="shared" si="6"/>
        <v>9878.196627711126</v>
      </c>
      <c r="M8" s="7">
        <f t="shared" si="6"/>
        <v>11359.926121867798</v>
      </c>
    </row>
    <row r="9" spans="1:13" x14ac:dyDescent="0.3">
      <c r="A9" s="2" t="s">
        <v>60</v>
      </c>
      <c r="B9" s="7">
        <f t="shared" ref="B9:M9" si="7">Fixed_SaaS + Fixed_Salary + Fixed_Misc</f>
        <v>12700</v>
      </c>
      <c r="C9" s="7">
        <f t="shared" si="7"/>
        <v>12700</v>
      </c>
      <c r="D9" s="7">
        <f t="shared" si="7"/>
        <v>12700</v>
      </c>
      <c r="E9" s="7">
        <f t="shared" si="7"/>
        <v>12700</v>
      </c>
      <c r="F9" s="7">
        <f t="shared" si="7"/>
        <v>12700</v>
      </c>
      <c r="G9" s="7">
        <f t="shared" si="7"/>
        <v>12700</v>
      </c>
      <c r="H9" s="7">
        <f t="shared" si="7"/>
        <v>12700</v>
      </c>
      <c r="I9" s="7">
        <f t="shared" si="7"/>
        <v>12700</v>
      </c>
      <c r="J9" s="7">
        <f t="shared" si="7"/>
        <v>12700</v>
      </c>
      <c r="K9" s="7">
        <f t="shared" si="7"/>
        <v>12700</v>
      </c>
      <c r="L9" s="7">
        <f t="shared" si="7"/>
        <v>12700</v>
      </c>
      <c r="M9" s="7">
        <f t="shared" si="7"/>
        <v>12700</v>
      </c>
    </row>
    <row r="10" spans="1:13" x14ac:dyDescent="0.3">
      <c r="A10" s="8" t="s">
        <v>61</v>
      </c>
      <c r="B10" s="8">
        <f t="shared" ref="B10:M10" si="8">B7 - B8 - B9</f>
        <v>6098</v>
      </c>
      <c r="C10" s="8">
        <f t="shared" si="8"/>
        <v>22774.399999999994</v>
      </c>
      <c r="D10" s="8">
        <f t="shared" si="8"/>
        <v>28095.55999999999</v>
      </c>
      <c r="E10" s="8">
        <f t="shared" si="8"/>
        <v>34214.893999999986</v>
      </c>
      <c r="F10" s="8">
        <f t="shared" si="8"/>
        <v>41252.128099999973</v>
      </c>
      <c r="G10" s="8">
        <f t="shared" si="8"/>
        <v>49344.947314999969</v>
      </c>
      <c r="H10" s="8">
        <f t="shared" si="8"/>
        <v>58651.689412249951</v>
      </c>
      <c r="I10" s="8">
        <f t="shared" si="8"/>
        <v>69354.442824087455</v>
      </c>
      <c r="J10" s="8">
        <f t="shared" si="8"/>
        <v>81662.609247700559</v>
      </c>
      <c r="K10" s="8">
        <f t="shared" si="8"/>
        <v>95817.000634855649</v>
      </c>
      <c r="L10" s="8">
        <f t="shared" si="8"/>
        <v>112094.55073008398</v>
      </c>
      <c r="M10" s="8">
        <f t="shared" si="8"/>
        <v>130813.73333959654</v>
      </c>
    </row>
    <row r="11" spans="1:13" x14ac:dyDescent="0.3">
      <c r="A11" s="2" t="s">
        <v>62</v>
      </c>
      <c r="B11" s="9">
        <f t="shared" ref="B11:M11" si="9">IF(B4=0, 0, B10/B4)</f>
        <v>0.17373219373219373</v>
      </c>
      <c r="C11" s="9">
        <f t="shared" si="9"/>
        <v>0.56421156942896067</v>
      </c>
      <c r="D11" s="9">
        <f t="shared" si="9"/>
        <v>0.60525013598737609</v>
      </c>
      <c r="E11" s="9">
        <f t="shared" si="9"/>
        <v>0.640935846038172</v>
      </c>
      <c r="F11" s="9">
        <f t="shared" si="9"/>
        <v>0.67196689825625533</v>
      </c>
      <c r="G11" s="9">
        <f t="shared" si="9"/>
        <v>0.69895042192415402</v>
      </c>
      <c r="H11" s="9">
        <f t="shared" si="9"/>
        <v>0.7224143555484136</v>
      </c>
      <c r="I11" s="9">
        <f t="shared" si="9"/>
        <v>0.74281777609124833</v>
      </c>
      <c r="J11" s="9">
        <f t="shared" si="9"/>
        <v>0.76055988091110427</v>
      </c>
      <c r="K11" s="9">
        <f t="shared" si="9"/>
        <v>0.7759877981457618</v>
      </c>
      <c r="L11" s="9">
        <f t="shared" si="9"/>
        <v>0.78940337834981178</v>
      </c>
      <c r="M11" s="9">
        <f t="shared" si="9"/>
        <v>0.8010691002663769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11</vt:i4>
      </vt:variant>
    </vt:vector>
  </HeadingPairs>
  <TitlesOfParts>
    <vt:vector size="15" baseType="lpstr">
      <vt:lpstr>הנחות יסוד (Dashboard)</vt:lpstr>
      <vt:lpstr>כלכלת יחידה (Unit Economics)</vt:lpstr>
      <vt:lpstr>רווח והפסד 12 חודשים</vt:lpstr>
      <vt:lpstr>דשבורד גרפים</vt:lpstr>
      <vt:lpstr>AOV</vt:lpstr>
      <vt:lpstr>CAC</vt:lpstr>
      <vt:lpstr>Churn_Rate</vt:lpstr>
      <vt:lpstr>Courier_Cut</vt:lpstr>
      <vt:lpstr>Fixed_Misc</vt:lpstr>
      <vt:lpstr>Fixed_SaaS</vt:lpstr>
      <vt:lpstr>Fixed_Salary</vt:lpstr>
      <vt:lpstr>Growth_Rate</vt:lpstr>
      <vt:lpstr>Start_Orders</vt:lpstr>
      <vt:lpstr>Var_Tech_Cost</vt:lpstr>
      <vt:lpstr>Work_Days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</dc:creator>
  <cp:lastModifiedBy>Israel</cp:lastModifiedBy>
  <dcterms:created xsi:type="dcterms:W3CDTF">2026-02-22T15:12:52Z</dcterms:created>
  <dcterms:modified xsi:type="dcterms:W3CDTF">2026-03-17T23:00:23Z</dcterms:modified>
</cp:coreProperties>
</file>